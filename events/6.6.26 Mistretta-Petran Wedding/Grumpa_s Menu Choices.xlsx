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<sst xmlns="http://schemas.openxmlformats.org/spreadsheetml/2006/main" count="32" uniqueCount="31">
  <si>
    <t>Food - Grumpas</t>
  </si>
  <si>
    <t>Drinks - Grateful Dane</t>
  </si>
  <si>
    <t>Appetizers</t>
  </si>
  <si>
    <t>Open Bar Per Hour</t>
  </si>
  <si>
    <t>Caprese Crustini</t>
  </si>
  <si>
    <t>(pricing per 2/4/26 email)</t>
  </si>
  <si>
    <t>Hours</t>
  </si>
  <si>
    <t>BBQ Meatball</t>
  </si>
  <si>
    <t xml:space="preserve">Shrimp Cocktail </t>
  </si>
  <si>
    <t>Service Fee</t>
  </si>
  <si>
    <t>&lt;is this gratuity?  from 1/26/26 Email</t>
  </si>
  <si>
    <t>Charcuterie Skewers</t>
  </si>
  <si>
    <t>Subtotal</t>
  </si>
  <si>
    <t>plus 20% grat</t>
  </si>
  <si>
    <t>BBQ Base Fee Chicken + Brisket</t>
  </si>
  <si>
    <t xml:space="preserve">Total </t>
  </si>
  <si>
    <t>Mac and Cheese</t>
  </si>
  <si>
    <t>Cole Slaw</t>
  </si>
  <si>
    <t xml:space="preserve">300 extra grat to Grateful dane? </t>
  </si>
  <si>
    <t>Plates</t>
  </si>
  <si>
    <t>Guests</t>
  </si>
  <si>
    <t>coffee</t>
  </si>
  <si>
    <t>Food Total</t>
  </si>
  <si>
    <t>Set Up/Clean Up</t>
  </si>
  <si>
    <t>Booking</t>
  </si>
  <si>
    <t>Labor</t>
  </si>
  <si>
    <t>Gratuity</t>
  </si>
  <si>
    <t>Tax</t>
  </si>
  <si>
    <t xml:space="preserve">Cash discount </t>
  </si>
  <si>
    <t>Total</t>
  </si>
  <si>
    <t xml:space="preserve">Grand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</si>
</sst>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2" fontId="2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2.88"/>
    <col customWidth="1" min="5" max="5" width="16.25"/>
    <col customWidth="1" min="7" max="7" width="28.38"/>
  </cols>
  <sheetData>
    <row r="1">
      <c r="A1" s="1" t="s">
        <v>0</v>
      </c>
      <c r="E1" s="1" t="s">
        <v>1</v>
      </c>
    </row>
    <row r="2">
      <c r="A2" s="2" t="s">
        <v>2</v>
      </c>
      <c r="B2" s="3"/>
      <c r="E2" s="2" t="s">
        <v>3</v>
      </c>
      <c r="F2" s="4">
        <v>10.0</v>
      </c>
    </row>
    <row r="3">
      <c r="A3" s="2" t="s">
        <v>4</v>
      </c>
      <c r="B3" s="5">
        <v>2.0</v>
      </c>
      <c r="C3" s="2" t="s">
        <v>5</v>
      </c>
      <c r="E3" s="2" t="s">
        <v>6</v>
      </c>
      <c r="F3" s="2">
        <v>5.0</v>
      </c>
    </row>
    <row r="4">
      <c r="A4" s="2" t="s">
        <v>7</v>
      </c>
      <c r="B4" s="5">
        <v>2.0</v>
      </c>
      <c r="F4" s="6">
        <f>F2*B14*F3</f>
        <v>4650</v>
      </c>
    </row>
    <row r="5">
      <c r="A5" s="2" t="s">
        <v>8</v>
      </c>
      <c r="B5" s="5">
        <v>4.0</v>
      </c>
      <c r="E5" s="2" t="s">
        <v>9</v>
      </c>
      <c r="F5" s="4">
        <v>950.0</v>
      </c>
      <c r="G5" s="2" t="s">
        <v>10</v>
      </c>
    </row>
    <row r="6">
      <c r="A6" s="2" t="s">
        <v>11</v>
      </c>
      <c r="B6" s="5">
        <v>3.0</v>
      </c>
      <c r="E6" s="2" t="s">
        <v>12</v>
      </c>
    </row>
    <row r="7">
      <c r="B7" s="7"/>
      <c r="E7" s="2" t="s">
        <v>13</v>
      </c>
      <c r="F7" s="6">
        <f>F4*G7</f>
        <v>5580</v>
      </c>
      <c r="G7" s="2">
        <v>1.2</v>
      </c>
    </row>
    <row r="8">
      <c r="A8" s="2" t="s">
        <v>14</v>
      </c>
      <c r="B8" s="5">
        <v>49.0</v>
      </c>
      <c r="E8" s="2" t="s">
        <v>15</v>
      </c>
      <c r="F8" s="6">
        <f>F7+F5</f>
        <v>6530</v>
      </c>
    </row>
    <row r="9">
      <c r="A9" s="2" t="s">
        <v>16</v>
      </c>
      <c r="B9" s="5">
        <v>4.0</v>
      </c>
    </row>
    <row r="10">
      <c r="A10" s="2" t="s">
        <v>17</v>
      </c>
      <c r="B10" s="5">
        <v>2.0</v>
      </c>
    </row>
    <row r="11">
      <c r="B11" s="7"/>
      <c r="G11" s="2" t="s">
        <v>18</v>
      </c>
    </row>
    <row r="12">
      <c r="B12" s="7"/>
    </row>
    <row r="13">
      <c r="A13" s="2" t="s">
        <v>19</v>
      </c>
      <c r="B13" s="5">
        <v>2.0</v>
      </c>
    </row>
    <row r="14">
      <c r="A14" s="2" t="s">
        <v>20</v>
      </c>
      <c r="B14" s="8">
        <v>93.0</v>
      </c>
    </row>
    <row r="15">
      <c r="A15" s="2" t="s">
        <v>21</v>
      </c>
      <c r="B15" s="5">
        <v>100.0</v>
      </c>
    </row>
    <row r="16">
      <c r="A16" s="2" t="s">
        <v>22</v>
      </c>
      <c r="B16" s="7">
        <f>SUM(B3:B13)*B14+B15</f>
        <v>6424</v>
      </c>
    </row>
    <row r="17">
      <c r="B17" s="3"/>
    </row>
    <row r="18">
      <c r="A18" s="2" t="s">
        <v>23</v>
      </c>
      <c r="B18" s="5">
        <v>500.0</v>
      </c>
    </row>
    <row r="19">
      <c r="A19" s="2" t="s">
        <v>24</v>
      </c>
      <c r="B19" s="5">
        <v>500.0</v>
      </c>
    </row>
    <row r="20">
      <c r="A20" s="2" t="s">
        <v>25</v>
      </c>
      <c r="B20" s="5">
        <v>300.0</v>
      </c>
    </row>
    <row r="21">
      <c r="A21" s="2" t="s">
        <v>12</v>
      </c>
      <c r="B21" s="7">
        <f>SUM(B16:B20)</f>
        <v>7724</v>
      </c>
      <c r="C21" s="2"/>
    </row>
    <row r="22">
      <c r="A22" s="2" t="s">
        <v>26</v>
      </c>
      <c r="B22" s="7">
        <f>B21*C22</f>
        <v>1544.8</v>
      </c>
      <c r="C22" s="2">
        <v>0.2</v>
      </c>
    </row>
    <row r="23">
      <c r="A23" s="2" t="s">
        <v>27</v>
      </c>
      <c r="B23" s="7">
        <f>B21*C23</f>
        <v>695.16</v>
      </c>
      <c r="C23" s="2">
        <v>0.09</v>
      </c>
    </row>
    <row r="24">
      <c r="B24" s="3"/>
    </row>
    <row r="25">
      <c r="A25" s="2" t="s">
        <v>28</v>
      </c>
      <c r="B25" s="7">
        <f>B21*C25</f>
        <v>772.4</v>
      </c>
      <c r="C25" s="2">
        <v>0.1</v>
      </c>
    </row>
    <row r="26">
      <c r="B26" s="3"/>
    </row>
    <row r="27">
      <c r="A27" s="2" t="s">
        <v>29</v>
      </c>
      <c r="B27" s="7">
        <f>SUM(B21:B23)-B25</f>
        <v>9191.56</v>
      </c>
    </row>
    <row r="28">
      <c r="B28" s="3"/>
      <c r="E28" s="2" t="s">
        <v>30</v>
      </c>
      <c r="F28" s="9">
        <f>SUM(B27+F8)</f>
        <v>15721.56</v>
      </c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</sheetData>
  <mergeCells count="2">
    <mergeCell ref="A1:B1"/>
    <mergeCell ref="E1:G1"/>
  </mergeCells>
  <drawing r:id="rId1"/>
</worksheet>
</file>