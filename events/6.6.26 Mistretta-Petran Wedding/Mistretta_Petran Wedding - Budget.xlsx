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dget Calculator" sheetId="1" r:id="rId5"/>
    <sheet state="visible" name="Catering" sheetId="2" r:id="rId6"/>
    <sheet state="visible" name="Honeymoon" sheetId="3" r:id="rId7"/>
    <sheet state="visible" name="Party"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
      <text>
        <t xml:space="preserve">Venue (25% of budget: ~$8,750)
Booking a venue typically consumes a large chunk of the budget – often around 20–30% of the total
Setting aside ~25% (about $8.7k for a $35k budget) for the ceremony and reception venue is wise. This covers the site fee and basic included amenities. 
If the venue provides tables, chairs, or rentals, it can lessen costs in the decor/rentals category; if not, you’ll need to budget separately for those (as we do below). Remember to account for taxes or service fees the venue may charge as well!
</t>
      </text>
    </comment>
  </commentList>
</comments>
</file>

<file path=xl/sharedStrings.xml><?xml version="1.0" encoding="utf-8"?>
<sst xmlns="http://schemas.openxmlformats.org/spreadsheetml/2006/main" count="118" uniqueCount="87">
  <si>
    <t>Bachelor / Bachelorette Party Budget:</t>
  </si>
  <si>
    <t>Your Catering Budget</t>
  </si>
  <si>
    <t>Honeymoon Budget:</t>
  </si>
  <si>
    <t>Low Estimate</t>
  </si>
  <si>
    <t>High Estimate</t>
  </si>
  <si>
    <r>
      <rPr>
        <rFont val="Arial"/>
        <color theme="1"/>
        <sz val="13.0"/>
      </rPr>
      <t>Enter your</t>
    </r>
    <r>
      <rPr>
        <rFont val="Arial"/>
        <b/>
        <color theme="1"/>
        <sz val="13.0"/>
      </rPr>
      <t xml:space="preserve"> Total Honeymoon Budget</t>
    </r>
  </si>
  <si>
    <r>
      <rPr>
        <rFont val="Arial"/>
        <color theme="1"/>
        <sz val="13.0"/>
      </rPr>
      <t>Enter your</t>
    </r>
    <r>
      <rPr>
        <rFont val="Arial"/>
        <b/>
        <color theme="1"/>
        <sz val="13.0"/>
      </rPr>
      <t xml:space="preserve"> Total Party Budget</t>
    </r>
  </si>
  <si>
    <t>Cost Per Plate Range</t>
  </si>
  <si>
    <t>Budget Projection</t>
  </si>
  <si>
    <t>Total Wedding Budget:</t>
  </si>
  <si>
    <t>Our Wedding Budget Breakdown</t>
  </si>
  <si>
    <r>
      <rPr>
        <rFont val="Arial"/>
        <color theme="1"/>
        <sz val="13.0"/>
      </rPr>
      <t>Enter your</t>
    </r>
    <r>
      <rPr>
        <rFont val="Arial"/>
        <b/>
        <color theme="1"/>
        <sz val="13.0"/>
      </rPr>
      <t xml:space="preserve"> Total Wedding Budget</t>
    </r>
  </si>
  <si>
    <t>Industry Standard</t>
  </si>
  <si>
    <t>Actual Cost</t>
  </si>
  <si>
    <t>Deposit Paid</t>
  </si>
  <si>
    <t>Click the      symbols on the left side pane to expand each sub-category.</t>
  </si>
  <si>
    <t>Remaining Due</t>
  </si>
  <si>
    <t>Flights</t>
  </si>
  <si>
    <t>-</t>
  </si>
  <si>
    <r>
      <rPr>
        <rFont val="Arial"/>
        <color theme="1"/>
        <sz val="15.0"/>
      </rPr>
      <t>Enter your</t>
    </r>
    <r>
      <rPr>
        <rFont val="Arial"/>
        <b/>
        <color theme="1"/>
        <sz val="15.0"/>
      </rPr>
      <t xml:space="preserve"> Cost Per Plate </t>
    </r>
    <r>
      <rPr>
        <rFont val="Arial"/>
        <color theme="1"/>
        <sz val="15.0"/>
      </rPr>
      <t>range</t>
    </r>
  </si>
  <si>
    <t>Venue</t>
  </si>
  <si>
    <t xml:space="preserve">Number of Guests You Can Feed		</t>
  </si>
  <si>
    <t>Number of Guests You Can Feed</t>
  </si>
  <si>
    <t>Transportation</t>
  </si>
  <si>
    <t>Welcome Party</t>
  </si>
  <si>
    <t>Hotels</t>
  </si>
  <si>
    <t>Ceremony Reservation</t>
  </si>
  <si>
    <t>Excursions</t>
  </si>
  <si>
    <t>Food &amp; Beverage</t>
  </si>
  <si>
    <t>Reception Reservation</t>
  </si>
  <si>
    <t>Misc.</t>
  </si>
  <si>
    <t>Total Cost:</t>
  </si>
  <si>
    <t>paid Grateful Dane $1850 on 4/27/2026</t>
  </si>
  <si>
    <t>Remaining Budget:</t>
  </si>
  <si>
    <t>Catering</t>
  </si>
  <si>
    <t>3592 paid 5/4/26 (half of remaining balance), 4260 paid 5/26/26 (remaining balance, paid in full)</t>
  </si>
  <si>
    <t>Bar &amp; Beverages</t>
  </si>
  <si>
    <t>*Includes $950 service fee &amp; gratuity</t>
  </si>
  <si>
    <t>Catering Welcome Party</t>
  </si>
  <si>
    <t>Bar &amp; Beverages - WP</t>
  </si>
  <si>
    <t>Catering After Party</t>
  </si>
  <si>
    <t>Bar &amp; Beverages - AP</t>
  </si>
  <si>
    <t>Wedding Cake</t>
  </si>
  <si>
    <t>Desserts</t>
  </si>
  <si>
    <t>Staff</t>
  </si>
  <si>
    <t>Vendors</t>
  </si>
  <si>
    <t>Photographer</t>
  </si>
  <si>
    <t>Videographer</t>
  </si>
  <si>
    <t>Welcome Party Band</t>
  </si>
  <si>
    <t>DJ / Band</t>
  </si>
  <si>
    <t>Officiant</t>
  </si>
  <si>
    <t>Hair &amp; Makeup</t>
  </si>
  <si>
    <t>paid full balance 5/22/26</t>
  </si>
  <si>
    <t>Florist</t>
  </si>
  <si>
    <t>paid full balance 5/4/26</t>
  </si>
  <si>
    <t>Wedding Planner</t>
  </si>
  <si>
    <t>paid full balance 4/9/2026</t>
  </si>
  <si>
    <t>Transportation - Wedding Party</t>
  </si>
  <si>
    <t>Tent Rentals</t>
  </si>
  <si>
    <t>paid full balance 5/23/26</t>
  </si>
  <si>
    <t>Event Rentals</t>
  </si>
  <si>
    <t>Photo Booth</t>
  </si>
  <si>
    <t>Dress &amp; Attire</t>
  </si>
  <si>
    <t>Bride Attire</t>
  </si>
  <si>
    <t>Groom Attire</t>
  </si>
  <si>
    <t>Alterations</t>
  </si>
  <si>
    <t>paid full balance 5/19/26</t>
  </si>
  <si>
    <t>Shoes &amp; Accessories</t>
  </si>
  <si>
    <t>Invitations Etc.</t>
  </si>
  <si>
    <t>Invitations</t>
  </si>
  <si>
    <t>Save-the-Dates</t>
  </si>
  <si>
    <t>Stationaries</t>
  </si>
  <si>
    <t>Thank You Cards</t>
  </si>
  <si>
    <t>Lighting &amp; Décor</t>
  </si>
  <si>
    <t>Décor</t>
  </si>
  <si>
    <t>Signage</t>
  </si>
  <si>
    <t>Lighting</t>
  </si>
  <si>
    <t>Misc. Accessories</t>
  </si>
  <si>
    <t>Wedding Favors</t>
  </si>
  <si>
    <t>Wedding Rings</t>
  </si>
  <si>
    <t>Vendor Tips</t>
  </si>
  <si>
    <t>Welcome Bags</t>
  </si>
  <si>
    <t>Marriage License</t>
  </si>
  <si>
    <t>--</t>
  </si>
  <si>
    <t>Emergency Kit</t>
  </si>
  <si>
    <t>Etc.</t>
  </si>
  <si>
    <t>Bridal party gift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</si>
</sst>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quot;$&quot;#,##0"/>
  </numFmts>
  <fonts count="23">
    <font>
      <sz val="10.0"/>
      <color rgb="FF000000"/>
      <name val="Arial"/>
      <scheme val="minor"/>
    </font>
    <font>
      <sz val="15.0"/>
      <color theme="1"/>
      <name val="Arial"/>
      <scheme val="minor"/>
    </font>
    <font>
      <color theme="1"/>
      <name val="Arial"/>
      <scheme val="minor"/>
    </font>
    <font>
      <b/>
      <sz val="15.0"/>
      <color rgb="FFFFFFFF"/>
      <name val="Montserrat"/>
    </font>
    <font>
      <b/>
      <sz val="18.0"/>
      <color theme="1"/>
      <name val="Montserrat"/>
    </font>
    <font/>
    <font>
      <b/>
      <color rgb="FFFFFFFF"/>
      <name val="Montserrat"/>
    </font>
    <font>
      <b/>
      <sz val="10.0"/>
      <color rgb="FFFFFFFF"/>
      <name val="Montserrat"/>
    </font>
    <font>
      <b/>
      <color theme="1"/>
      <name val="Arial"/>
      <scheme val="minor"/>
    </font>
    <font>
      <color theme="1"/>
      <name val="Montserrat"/>
    </font>
    <font>
      <b/>
      <sz val="12.0"/>
      <color rgb="FFFFFFFF"/>
      <name val="Montserrat"/>
    </font>
    <font>
      <b/>
      <sz val="18.0"/>
      <color rgb="FFFFFFFF"/>
      <name val="Montserrat"/>
    </font>
    <font>
      <sz val="13.0"/>
      <color theme="1"/>
      <name val="Arial"/>
      <scheme val="minor"/>
    </font>
    <font>
      <b/>
      <sz val="18.0"/>
      <color rgb="FF000000"/>
      <name val="Montserrat"/>
    </font>
    <font>
      <b/>
      <color theme="1"/>
      <name val="Montserrat"/>
    </font>
    <font>
      <b/>
      <sz val="15.0"/>
      <color rgb="FFFFFFFF"/>
      <name val="Arial"/>
      <scheme val="minor"/>
    </font>
    <font>
      <b/>
      <sz val="12.0"/>
      <color theme="1"/>
      <name val="Montserrat"/>
    </font>
    <font>
      <sz val="10.0"/>
      <color theme="1"/>
      <name val="Montserrat"/>
    </font>
    <font>
      <sz val="10.0"/>
      <color theme="1"/>
      <name val="Arial"/>
      <scheme val="minor"/>
    </font>
    <font>
      <b/>
      <sz val="12.0"/>
      <color rgb="FF38761D"/>
      <name val="Montserrat"/>
    </font>
    <font>
      <b/>
      <sz val="12.0"/>
      <color rgb="FF000000"/>
      <name val="Montserrat"/>
    </font>
    <font>
      <i/>
      <sz val="9.0"/>
      <color theme="1"/>
      <name val="Montserrat"/>
    </font>
    <font>
      <b/>
      <sz val="12.0"/>
      <color theme="1"/>
      <name val="Arial"/>
      <scheme val="minor"/>
    </font>
  </fonts>
  <fills count="9">
    <fill>
      <patternFill patternType="none"/>
    </fill>
    <fill>
      <patternFill patternType="lightGray"/>
    </fill>
    <fill>
      <patternFill patternType="solid">
        <fgColor rgb="FFFFFFFF"/>
        <bgColor rgb="FFFFFFFF"/>
      </patternFill>
    </fill>
    <fill>
      <patternFill patternType="solid">
        <fgColor rgb="FF78909C"/>
        <bgColor rgb="FF78909C"/>
      </patternFill>
    </fill>
    <fill>
      <patternFill patternType="solid">
        <fgColor theme="9"/>
        <bgColor theme="9"/>
      </patternFill>
    </fill>
    <fill>
      <patternFill patternType="solid">
        <fgColor rgb="FF46BDC6"/>
        <bgColor rgb="FF46BDC6"/>
      </patternFill>
    </fill>
    <fill>
      <patternFill patternType="solid">
        <fgColor rgb="FFEBEFF1"/>
        <bgColor rgb="FFEBEFF1"/>
      </patternFill>
    </fill>
    <fill>
      <patternFill patternType="solid">
        <fgColor rgb="FFDDF2F0"/>
        <bgColor rgb="FFDDF2F0"/>
      </patternFill>
    </fill>
    <fill>
      <patternFill patternType="solid">
        <fgColor rgb="FFF3F3F3"/>
        <bgColor rgb="FFF3F3F3"/>
      </patternFill>
    </fill>
  </fills>
  <borders count="103">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rder>
    <border>
      <right style="medium">
        <color rgb="FF000000"/>
      </right>
      <top style="medium">
        <color rgb="FF000000"/>
      </top>
    </border>
    <border>
      <left style="medium">
        <color rgb="FFFF0000"/>
      </left>
      <top style="medium">
        <color rgb="FFFF0000"/>
      </top>
      <bottom style="medium">
        <color rgb="FFFF0000"/>
      </bottom>
    </border>
    <border>
      <top style="medium">
        <color rgb="FFFF0000"/>
      </top>
      <bottom style="medium">
        <color rgb="FFFF0000"/>
      </bottom>
    </border>
    <border>
      <right style="medium">
        <color rgb="FFFF0000"/>
      </right>
      <top style="medium">
        <color rgb="FFFF0000"/>
      </top>
      <bottom style="medium">
        <color rgb="FFFF0000"/>
      </bottom>
    </border>
    <border>
      <left style="medium">
        <color rgb="FF000000"/>
      </left>
      <right style="medium">
        <color rgb="FF000000"/>
      </right>
      <top style="medium">
        <color rgb="FF000000"/>
      </top>
    </border>
    <border>
      <left style="medium">
        <color rgb="FFFF0000"/>
      </left>
      <right style="medium">
        <color rgb="FFFF0000"/>
      </right>
      <top style="medium">
        <color rgb="FFFF0000"/>
      </top>
      <bottom style="medium">
        <color rgb="FFFF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FF0000"/>
      </left>
      <right style="medium">
        <color rgb="FFFF0000"/>
      </right>
      <top style="medium">
        <color rgb="FFFF0000"/>
      </top>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medium">
        <color rgb="FFFF0000"/>
      </left>
      <right style="medium">
        <color rgb="FFFF0000"/>
      </right>
    </border>
    <border>
      <left style="thin">
        <color rgb="FF000000"/>
      </left>
      <bottom style="thin">
        <color rgb="FF000000"/>
      </bottom>
    </border>
    <border>
      <left style="medium">
        <color rgb="FF000000"/>
      </left>
      <bottom style="thin">
        <color rgb="FF000000"/>
      </bottom>
    </border>
    <border>
      <left style="double">
        <color rgb="FF000000"/>
      </left>
      <right style="thin">
        <color rgb="FF000000"/>
      </right>
      <bottom style="thin">
        <color rgb="FF000000"/>
      </bottom>
    </border>
    <border>
      <left style="thick">
        <color rgb="FF000000"/>
      </left>
      <right style="double">
        <color rgb="FF000000"/>
      </right>
      <bottom style="thin">
        <color rgb="FF000000"/>
      </bottom>
    </border>
    <border>
      <left style="double">
        <color rgb="FF000000"/>
      </left>
      <right style="double">
        <color rgb="FF000000"/>
      </right>
      <bottom style="thin">
        <color rgb="FF000000"/>
      </bottom>
    </border>
    <border>
      <left style="double">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uble">
        <color rgb="FF000000"/>
      </left>
      <right style="thin">
        <color rgb="FF000000"/>
      </right>
      <top style="thin">
        <color rgb="FF000000"/>
      </top>
      <bottom style="thin">
        <color rgb="FF000000"/>
      </bottom>
    </border>
    <border>
      <top style="medium">
        <color rgb="FFFF0000"/>
      </top>
    </border>
    <border>
      <left style="medium">
        <color rgb="FF000000"/>
      </left>
    </border>
    <border>
      <left style="thick">
        <color rgb="FF000000"/>
      </left>
      <right style="double">
        <color rgb="FF000000"/>
      </right>
      <top style="thin">
        <color rgb="FF000000"/>
      </top>
      <bottom style="thin">
        <color rgb="FF000000"/>
      </bottom>
    </border>
    <border>
      <left style="double">
        <color rgb="FF000000"/>
      </left>
      <right style="double">
        <color rgb="FF000000"/>
      </right>
      <top style="thin">
        <color rgb="FF000000"/>
      </top>
      <bottom style="thin">
        <color rgb="FF000000"/>
      </bottom>
    </border>
    <border>
      <left style="double">
        <color rgb="FF000000"/>
      </left>
      <right style="medium">
        <color rgb="FF000000"/>
      </right>
      <top style="thin">
        <color rgb="FF000000"/>
      </top>
      <bottom style="thin">
        <color rgb="FF000000"/>
      </bottom>
    </border>
    <border>
      <left style="thick">
        <color rgb="FF000000"/>
      </left>
      <right style="double">
        <color rgb="FF000000"/>
      </right>
    </border>
    <border>
      <left style="double">
        <color rgb="FF000000"/>
      </left>
      <right style="double">
        <color rgb="FF000000"/>
      </right>
    </border>
    <border>
      <right style="medium">
        <color rgb="FF000000"/>
      </right>
    </border>
    <border>
      <left style="medium">
        <color rgb="FF000000"/>
      </left>
      <bottom style="dotted">
        <color rgb="FF000000"/>
      </bottom>
    </border>
    <border>
      <left style="medium">
        <color rgb="FF000000"/>
      </left>
      <right style="dotted">
        <color rgb="FF000000"/>
      </right>
      <bottom style="dotted">
        <color rgb="FF000000"/>
      </bottom>
    </border>
    <border>
      <left style="dotted">
        <color rgb="FF000000"/>
      </left>
      <right style="double">
        <color rgb="FF000000"/>
      </right>
      <bottom style="dotted">
        <color rgb="FF000000"/>
      </bottom>
    </border>
    <border>
      <right style="dotted">
        <color rgb="FF000000"/>
      </right>
      <bottom style="dotted">
        <color rgb="FF000000"/>
      </bottom>
    </border>
    <border>
      <left style="dotted">
        <color rgb="FF000000"/>
      </left>
      <bottom style="dotted">
        <color rgb="FF000000"/>
      </bottom>
    </border>
    <border>
      <left style="thick">
        <color rgb="FF000000"/>
      </left>
      <right style="double">
        <color rgb="FF000000"/>
      </right>
      <bottom style="dotted">
        <color rgb="FF000000"/>
      </bottom>
    </border>
    <border>
      <left style="double">
        <color rgb="FF000000"/>
      </left>
      <right style="double">
        <color rgb="FF000000"/>
      </right>
      <bottom style="dotted">
        <color rgb="FF000000"/>
      </bottom>
    </border>
    <border>
      <top style="thin">
        <color rgb="FF000000"/>
      </top>
      <bottom style="thin">
        <color rgb="FF000000"/>
      </bottom>
    </border>
    <border>
      <right style="medium">
        <color rgb="FF000000"/>
      </right>
      <bottom style="dotted">
        <color rgb="FF000000"/>
      </bottom>
    </border>
    <border>
      <left style="medium">
        <color rgb="FF000000"/>
      </left>
      <top style="dotted">
        <color rgb="FF000000"/>
      </top>
      <bottom style="dotted">
        <color rgb="FF000000"/>
      </bottom>
    </border>
    <border>
      <left style="medium">
        <color rgb="FF000000"/>
      </left>
      <right style="dotted">
        <color rgb="FF000000"/>
      </right>
      <top style="dotted">
        <color rgb="FF000000"/>
      </top>
      <bottom style="dotted">
        <color rgb="FF000000"/>
      </bottom>
    </border>
    <border>
      <left style="dotted">
        <color rgb="FF000000"/>
      </left>
      <right style="double">
        <color rgb="FF000000"/>
      </right>
      <top style="dotted">
        <color rgb="FF000000"/>
      </top>
      <bottom style="dotted">
        <color rgb="FF000000"/>
      </bottom>
    </border>
    <border>
      <right style="dotted">
        <color rgb="FF000000"/>
      </right>
      <top style="dotted">
        <color rgb="FF000000"/>
      </top>
      <bottom style="dotted">
        <color rgb="FF000000"/>
      </bottom>
    </border>
    <border>
      <left style="dotted">
        <color rgb="FF000000"/>
      </left>
      <top style="dotted">
        <color rgb="FF000000"/>
      </top>
      <bottom style="dotted">
        <color rgb="FF000000"/>
      </bottom>
    </border>
    <border>
      <left style="medium">
        <color rgb="FF000000"/>
      </left>
      <right style="thin">
        <color rgb="FF000000"/>
      </right>
      <top style="double">
        <color rgb="FF000000"/>
      </top>
      <bottom style="medium">
        <color rgb="FF000000"/>
      </bottom>
    </border>
    <border>
      <left style="thick">
        <color rgb="FF000000"/>
      </left>
      <right style="double">
        <color rgb="FF000000"/>
      </right>
      <top style="dotted">
        <color rgb="FF000000"/>
      </top>
    </border>
    <border>
      <left style="double">
        <color rgb="FF000000"/>
      </left>
      <right style="double">
        <color rgb="FF000000"/>
      </right>
      <top style="dotted">
        <color rgb="FF000000"/>
      </top>
      <bottom style="dotted">
        <color rgb="FF000000"/>
      </bottom>
    </border>
    <border>
      <left style="thin">
        <color rgb="FF000000"/>
      </left>
      <right style="thin">
        <color rgb="FF000000"/>
      </right>
      <top style="double">
        <color rgb="FF000000"/>
      </top>
      <bottom style="medium">
        <color rgb="FF000000"/>
      </bottom>
    </border>
    <border>
      <right style="medium">
        <color rgb="FF000000"/>
      </right>
      <top style="dotted">
        <color rgb="FF000000"/>
      </top>
      <bottom style="dotted">
        <color rgb="FF000000"/>
      </bottom>
    </border>
    <border>
      <left style="thin">
        <color rgb="FF000000"/>
      </left>
      <top style="double">
        <color rgb="FF000000"/>
      </top>
      <bottom style="medium">
        <color rgb="FF000000"/>
      </bottom>
    </border>
    <border>
      <left style="double">
        <color rgb="FF000000"/>
      </left>
      <right style="thin">
        <color rgb="FF000000"/>
      </right>
      <top style="double">
        <color rgb="FF000000"/>
      </top>
      <bottom style="medium">
        <color rgb="FF000000"/>
      </bottom>
    </border>
    <border>
      <left style="medium">
        <color rgb="FF000000"/>
      </left>
      <top style="thin">
        <color rgb="FF000000"/>
      </top>
      <bottom style="thin">
        <color rgb="FF000000"/>
      </bottom>
    </border>
    <border>
      <left style="thick">
        <color rgb="FF000000"/>
      </left>
      <right style="double">
        <color rgb="FF000000"/>
      </right>
      <top style="double">
        <color rgb="FF000000"/>
      </top>
      <bottom style="medium">
        <color rgb="FF000000"/>
      </bottom>
    </border>
    <border>
      <top style="double">
        <color rgb="FF000000"/>
      </top>
      <bottom style="medium">
        <color rgb="FF000000"/>
      </bottom>
    </border>
    <border>
      <left style="double">
        <color rgb="FF000000"/>
      </left>
      <right style="medium">
        <color rgb="FF000000"/>
      </right>
      <top style="double">
        <color rgb="FF000000"/>
      </top>
      <bottom style="medium">
        <color rgb="FF000000"/>
      </bottom>
    </border>
    <border>
      <right style="thin">
        <color rgb="FF000000"/>
      </right>
      <top style="thin">
        <color rgb="FF000000"/>
      </top>
      <bottom style="thin">
        <color rgb="FF000000"/>
      </bottom>
    </border>
    <border>
      <left style="medium">
        <color rgb="FF000000"/>
      </left>
      <top style="thin">
        <color rgb="FF000000"/>
      </top>
      <bottom style="dotted">
        <color rgb="FF000000"/>
      </bottom>
    </border>
    <border>
      <left style="medium">
        <color rgb="FF000000"/>
      </left>
      <right style="dotted">
        <color rgb="FF000000"/>
      </right>
      <top style="thin">
        <color rgb="FF000000"/>
      </top>
      <bottom style="dotted">
        <color rgb="FF000000"/>
      </bottom>
    </border>
    <border>
      <left style="dotted">
        <color rgb="FF000000"/>
      </left>
      <top style="thin">
        <color rgb="FF000000"/>
      </top>
      <bottom style="dotted">
        <color rgb="FF000000"/>
      </bottom>
    </border>
    <border>
      <left style="double">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double">
        <color rgb="FF000000"/>
      </left>
      <right style="double">
        <color rgb="FF000000"/>
      </right>
      <top style="thin">
        <color rgb="FF000000"/>
      </top>
      <bottom style="dotted">
        <color rgb="FF000000"/>
      </bottom>
    </border>
    <border>
      <left style="double">
        <color rgb="FF000000"/>
      </left>
      <right style="medium">
        <color rgb="FF000000"/>
      </right>
      <top style="thin">
        <color rgb="FF000000"/>
      </top>
      <bottom style="dotted">
        <color rgb="FF000000"/>
      </bottom>
    </border>
    <border>
      <left style="double">
        <color rgb="FF000000"/>
      </left>
      <right style="dotted">
        <color rgb="FF000000"/>
      </right>
      <top style="dotted">
        <color rgb="FF000000"/>
      </top>
      <bottom style="dotted">
        <color rgb="FF000000"/>
      </bottom>
    </border>
    <border>
      <left style="dotted">
        <color rgb="FF000000"/>
      </left>
      <right style="thin">
        <color rgb="FF000000"/>
      </right>
      <top style="dotted">
        <color rgb="FF000000"/>
      </top>
      <bottom style="dotted">
        <color rgb="FF000000"/>
      </bottom>
    </border>
    <border>
      <left style="thick">
        <color rgb="FF000000"/>
      </left>
      <right style="double">
        <color rgb="FF000000"/>
      </right>
      <top style="dotted">
        <color rgb="FF000000"/>
      </top>
      <bottom style="dotted">
        <color rgb="FF000000"/>
      </bottom>
    </border>
    <border>
      <left style="double">
        <color rgb="FF000000"/>
      </left>
      <right style="medium">
        <color rgb="FF000000"/>
      </right>
      <top style="dotted">
        <color rgb="FF000000"/>
      </top>
      <bottom style="dotted">
        <color rgb="FF000000"/>
      </bottom>
    </border>
    <border>
      <left style="double">
        <color rgb="FF000000"/>
      </left>
      <right style="dotted">
        <color rgb="FF000000"/>
      </right>
      <bottom style="dotted">
        <color rgb="FF000000"/>
      </bottom>
    </border>
    <border>
      <left style="dotted">
        <color rgb="FF000000"/>
      </left>
      <right style="thin">
        <color rgb="FF000000"/>
      </right>
      <bottom style="dotted">
        <color rgb="FF000000"/>
      </bottom>
    </border>
    <border>
      <left style="medium">
        <color rgb="FF000000"/>
      </left>
      <top style="dotted">
        <color rgb="FF000000"/>
      </top>
      <bottom style="thin">
        <color rgb="FF000000"/>
      </bottom>
    </border>
    <border>
      <left style="medium">
        <color rgb="FF000000"/>
      </left>
      <right style="dotted">
        <color rgb="FF000000"/>
      </right>
      <top style="dotted">
        <color rgb="FF000000"/>
      </top>
      <bottom style="thin">
        <color rgb="FF000000"/>
      </bottom>
    </border>
    <border>
      <top style="dotted">
        <color rgb="FF000000"/>
      </top>
      <bottom style="thin">
        <color rgb="FF000000"/>
      </bottom>
    </border>
    <border>
      <left style="double">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ck">
        <color rgb="FF000000"/>
      </left>
      <right style="double">
        <color rgb="FF000000"/>
      </right>
      <top style="dotted">
        <color rgb="FF000000"/>
      </top>
      <bottom style="thin">
        <color rgb="FF000000"/>
      </bottom>
    </border>
    <border>
      <left style="double">
        <color rgb="FF000000"/>
      </left>
      <right style="double">
        <color rgb="FF000000"/>
      </right>
      <top style="dotted">
        <color rgb="FF000000"/>
      </top>
      <bottom style="thin">
        <color rgb="FF000000"/>
      </bottom>
    </border>
    <border>
      <left style="double">
        <color rgb="FF000000"/>
      </left>
      <right style="medium">
        <color rgb="FF000000"/>
      </right>
      <top style="dotted">
        <color rgb="FF000000"/>
      </top>
    </border>
    <border>
      <left style="dotted">
        <color rgb="FF000000"/>
      </left>
      <right style="dotted">
        <color rgb="FF000000"/>
      </right>
      <bottom style="dotted">
        <color rgb="FF000000"/>
      </bottom>
    </border>
    <border>
      <bottom style="dotted">
        <color rgb="FF000000"/>
      </bottom>
    </border>
    <border>
      <left style="medium">
        <color rgb="FF000000"/>
      </left>
      <right style="dotted">
        <color rgb="FF000000"/>
      </right>
    </border>
    <border>
      <left style="double">
        <color rgb="FF000000"/>
      </left>
      <right style="medium">
        <color rgb="FF000000"/>
      </right>
    </border>
    <border>
      <left style="double">
        <color rgb="FF000000"/>
      </left>
      <right style="dotted">
        <color rgb="FF000000"/>
      </right>
    </border>
    <border>
      <left style="medium">
        <color rgb="FF000000"/>
      </left>
      <top style="dotted">
        <color rgb="FF000000"/>
      </top>
    </border>
    <border>
      <left style="medium">
        <color rgb="FF000000"/>
      </left>
      <right style="dotted">
        <color rgb="FF000000"/>
      </right>
      <top style="dotted">
        <color rgb="FF000000"/>
      </top>
    </border>
    <border>
      <left style="double">
        <color rgb="FF000000"/>
      </left>
      <right style="dotted">
        <color rgb="FF000000"/>
      </right>
      <top style="dotted">
        <color rgb="FF000000"/>
      </top>
    </border>
    <border>
      <left style="dotted">
        <color rgb="FF000000"/>
      </left>
      <right style="dotted">
        <color rgb="FF000000"/>
      </right>
      <top style="dotted">
        <color rgb="FF000000"/>
      </top>
      <bottom style="dotted">
        <color rgb="FF000000"/>
      </bottom>
    </border>
    <border>
      <left style="thick">
        <color rgb="FF000000"/>
      </left>
      <bottom style="dotted">
        <color rgb="FF000000"/>
      </bottom>
    </border>
    <border>
      <left style="thick">
        <color rgb="FF000000"/>
      </left>
      <top style="dotted">
        <color rgb="FF000000"/>
      </top>
      <bottom style="dotted">
        <color rgb="FF000000"/>
      </bottom>
    </border>
    <border>
      <top style="dotted">
        <color rgb="FF000000"/>
      </top>
      <bottom style="dotted">
        <color rgb="FF000000"/>
      </bottom>
    </border>
    <border>
      <top style="thin">
        <color rgb="FF000000"/>
      </top>
      <bottom style="dotted">
        <color rgb="FF000000"/>
      </bottom>
    </border>
    <border>
      <left style="dotted">
        <color rgb="FF000000"/>
      </left>
      <top style="dotted">
        <color rgb="FF000000"/>
      </top>
      <bottom style="thin">
        <color rgb="FF000000"/>
      </bottom>
    </border>
    <border>
      <left style="dotted">
        <color rgb="FF000000"/>
      </left>
      <top style="dotted">
        <color rgb="FF000000"/>
      </top>
    </border>
    <border>
      <top style="dotted">
        <color rgb="FF000000"/>
      </top>
    </border>
    <border>
      <left style="medium">
        <color rgb="FF000000"/>
      </left>
      <top style="double">
        <color rgb="FF000000"/>
      </top>
      <bottom style="medium">
        <color rgb="FF000000"/>
      </bottom>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readingOrder="0"/>
    </xf>
    <xf borderId="0" fillId="2" fontId="2" numFmtId="0" xfId="0" applyFill="1" applyFont="1"/>
    <xf borderId="0" fillId="2" fontId="3" numFmtId="0" xfId="0" applyAlignment="1" applyFill="1" applyFont="1">
      <alignment horizontal="center" readingOrder="0" vertical="center"/>
    </xf>
    <xf borderId="1" fillId="0" fontId="4" numFmtId="0" xfId="0" applyAlignment="1" applyBorder="1" applyFont="1">
      <alignment horizontal="center" readingOrder="0" vertical="center"/>
    </xf>
    <xf borderId="2" fillId="3" fontId="3" numFmtId="0" xfId="0" applyAlignment="1" applyBorder="1" applyFill="1" applyFont="1">
      <alignment horizontal="center" readingOrder="0" vertical="center"/>
    </xf>
    <xf borderId="2" fillId="3" fontId="3" numFmtId="0" xfId="0" applyAlignment="1" applyBorder="1" applyFill="1" applyFont="1">
      <alignment horizontal="center" vertical="center"/>
    </xf>
    <xf borderId="1" fillId="0" fontId="4" numFmtId="164" xfId="0" applyAlignment="1" applyBorder="1" applyFont="1" applyNumberFormat="1">
      <alignment horizontal="center" readingOrder="0" vertical="center"/>
    </xf>
    <xf borderId="3" fillId="0" fontId="5" numFmtId="0" xfId="0" applyBorder="1" applyFont="1"/>
    <xf borderId="4" fillId="0" fontId="5" numFmtId="0" xfId="0" applyBorder="1" applyFont="1"/>
    <xf borderId="5" fillId="3" fontId="6" numFmtId="0" xfId="0" applyAlignment="1" applyBorder="1" applyFill="1" applyFont="1">
      <alignment horizontal="center"/>
    </xf>
    <xf borderId="2" fillId="4" fontId="3" numFmtId="165" xfId="0" applyAlignment="1" applyBorder="1" applyFill="1" applyFont="1" applyNumberFormat="1">
      <alignment horizontal="center" readingOrder="0" vertical="center"/>
    </xf>
    <xf borderId="6" fillId="0" fontId="5" numFmtId="0" xfId="0" applyBorder="1" applyFont="1"/>
    <xf borderId="7" fillId="0" fontId="5" numFmtId="0" xfId="0" applyBorder="1" applyFont="1"/>
    <xf borderId="8" fillId="0" fontId="4" numFmtId="0" xfId="0" applyAlignment="1" applyBorder="1" applyFont="1">
      <alignment horizontal="center" readingOrder="0" vertical="center"/>
    </xf>
    <xf borderId="1" fillId="0" fontId="5" numFmtId="0" xfId="0" applyBorder="1" applyFont="1"/>
    <xf borderId="2" fillId="3" fontId="6" numFmtId="0" xfId="0" applyAlignment="1" applyBorder="1" applyFill="1" applyFont="1">
      <alignment horizontal="center" readingOrder="0" vertical="center"/>
    </xf>
    <xf borderId="9" fillId="0" fontId="5" numFmtId="0" xfId="0" applyBorder="1" applyFont="1"/>
    <xf borderId="10" fillId="0" fontId="1" numFmtId="0" xfId="0" applyAlignment="1" applyBorder="1" applyFont="1">
      <alignment horizontal="center" readingOrder="0" vertical="center"/>
    </xf>
    <xf borderId="11" fillId="0" fontId="5" numFmtId="0" xfId="0" applyBorder="1" applyFont="1"/>
    <xf borderId="5" fillId="0" fontId="5" numFmtId="0" xfId="0" applyBorder="1" applyFont="1"/>
    <xf borderId="12" fillId="0" fontId="5" numFmtId="0" xfId="0" applyBorder="1" applyFont="1"/>
    <xf borderId="8" fillId="3" fontId="7" numFmtId="0" xfId="0" applyAlignment="1" applyBorder="1" applyFill="1" applyFont="1">
      <alignment horizontal="center" readingOrder="0" vertical="center"/>
    </xf>
    <xf borderId="0" fillId="0" fontId="1" numFmtId="0" xfId="0" applyAlignment="1" applyFont="1">
      <alignment horizontal="center" readingOrder="0" vertical="center"/>
    </xf>
    <xf borderId="0" fillId="0" fontId="8" numFmtId="0" xfId="0" applyAlignment="1" applyFont="1">
      <alignment readingOrder="0"/>
    </xf>
    <xf borderId="0" fillId="2" fontId="9" numFmtId="0" xfId="0" applyFill="1" applyFont="1"/>
    <xf borderId="13" fillId="3" fontId="9" numFmtId="0" xfId="0" applyBorder="1" applyFill="1" applyFont="1"/>
    <xf borderId="0" fillId="0" fontId="2" numFmtId="164" xfId="0" applyFont="1" applyNumberFormat="1"/>
    <xf borderId="2" fillId="3" fontId="10" numFmtId="0" xfId="0" applyAlignment="1" applyBorder="1" applyFill="1" applyFont="1">
      <alignment horizontal="center" readingOrder="0" vertical="center"/>
    </xf>
    <xf borderId="2" fillId="4" fontId="10" numFmtId="0" xfId="0" applyAlignment="1" applyBorder="1" applyFill="1" applyFont="1">
      <alignment horizontal="center" readingOrder="0" vertical="center"/>
    </xf>
    <xf borderId="14" fillId="0" fontId="1" numFmtId="0" xfId="0" applyAlignment="1" applyBorder="1" applyFont="1">
      <alignment horizontal="center" readingOrder="0" vertical="center"/>
    </xf>
    <xf borderId="0" fillId="2" fontId="9" numFmtId="0" xfId="0" applyAlignment="1" applyFill="1" applyFont="1">
      <alignment readingOrder="0"/>
    </xf>
    <xf borderId="15" fillId="3" fontId="5" numFmtId="0" xfId="0" applyBorder="1" applyFill="1" applyFont="1"/>
    <xf borderId="5" fillId="5" fontId="11" numFmtId="165" xfId="0" applyAlignment="1" applyBorder="1" applyFill="1" applyFont="1" applyNumberFormat="1">
      <alignment horizontal="center" vertical="center"/>
    </xf>
    <xf borderId="4" fillId="3" fontId="5" numFmtId="0" xfId="0" applyBorder="1" applyFill="1" applyFont="1"/>
    <xf borderId="16" fillId="4" fontId="6" numFmtId="0" xfId="0" applyAlignment="1" applyBorder="1" applyFill="1" applyFont="1">
      <alignment horizontal="center" readingOrder="0" vertical="center"/>
    </xf>
    <xf borderId="17" fillId="0" fontId="12" numFmtId="0" xfId="0" applyAlignment="1" applyBorder="1" applyFont="1">
      <alignment horizontal="center" readingOrder="0" shrinkToFit="0" vertical="center" wrapText="1"/>
    </xf>
    <xf borderId="2" fillId="4" fontId="11" numFmtId="165" xfId="0" applyAlignment="1" applyBorder="1" applyFill="1" applyFont="1" applyNumberFormat="1">
      <alignment horizontal="center" vertical="center"/>
    </xf>
    <xf borderId="18" fillId="2" fontId="9" numFmtId="0" xfId="0" applyAlignment="1" applyBorder="1" applyFill="1" applyFont="1">
      <alignment readingOrder="0" vertical="center"/>
    </xf>
    <xf borderId="0" fillId="2" fontId="9" numFmtId="0" xfId="0" applyAlignment="1" applyFill="1" applyFont="1">
      <alignment readingOrder="0" vertical="center"/>
    </xf>
    <xf borderId="19" fillId="2" fontId="9" numFmtId="9" xfId="0" applyAlignment="1" applyBorder="1" applyFill="1" applyFont="1" applyNumberFormat="1">
      <alignment horizontal="center" readingOrder="0" vertical="center"/>
    </xf>
    <xf borderId="2" fillId="6" fontId="13" numFmtId="165" xfId="0" applyAlignment="1" applyBorder="1" applyFill="1" applyFont="1" applyNumberFormat="1">
      <alignment horizontal="center" readingOrder="0" vertical="center"/>
    </xf>
    <xf borderId="3" fillId="6" fontId="13" numFmtId="0" xfId="0" applyAlignment="1" applyBorder="1" applyFill="1" applyFont="1">
      <alignment horizontal="center" readingOrder="0" vertical="center"/>
    </xf>
    <xf borderId="2" fillId="3" fontId="6" numFmtId="164" xfId="0" applyAlignment="1" applyBorder="1" applyFill="1" applyFont="1" applyNumberFormat="1">
      <alignment horizontal="center" readingOrder="0" vertical="center"/>
    </xf>
    <xf borderId="4" fillId="6" fontId="13" numFmtId="165" xfId="0" applyAlignment="1" applyBorder="1" applyFill="1" applyFont="1" applyNumberFormat="1">
      <alignment horizontal="center" readingOrder="0" vertical="center"/>
    </xf>
    <xf borderId="20" fillId="0" fontId="5" numFmtId="0" xfId="0" applyBorder="1" applyFont="1"/>
    <xf borderId="21" fillId="2" fontId="9" numFmtId="165" xfId="0" applyAlignment="1" applyBorder="1" applyFill="1" applyFont="1" applyNumberFormat="1">
      <alignment horizontal="center" vertical="center"/>
    </xf>
    <xf borderId="22" fillId="2" fontId="14" numFmtId="0" xfId="0" applyAlignment="1" applyBorder="1" applyFill="1" applyFont="1">
      <alignment readingOrder="0" vertical="center"/>
    </xf>
    <xf borderId="0" fillId="0" fontId="15" numFmtId="0" xfId="0" applyAlignment="1" applyFont="1">
      <alignment readingOrder="0" vertical="center"/>
    </xf>
    <xf borderId="23" fillId="2" fontId="9" numFmtId="9" xfId="0" applyAlignment="1" applyBorder="1" applyFill="1" applyFont="1" applyNumberFormat="1">
      <alignment horizontal="center" readingOrder="0" vertical="center"/>
    </xf>
    <xf borderId="18" fillId="2" fontId="9" numFmtId="164" xfId="0" applyAlignment="1" applyBorder="1" applyFill="1" applyFont="1" applyNumberFormat="1">
      <alignment horizontal="center" readingOrder="0" vertical="center"/>
    </xf>
    <xf borderId="5" fillId="3" fontId="7" numFmtId="0" xfId="0" applyAlignment="1" applyBorder="1" applyFill="1" applyFont="1">
      <alignment horizontal="center" readingOrder="0" vertical="center"/>
    </xf>
    <xf borderId="19" fillId="2" fontId="9" numFmtId="165" xfId="0" applyAlignment="1" applyBorder="1" applyFill="1" applyFont="1" applyNumberFormat="1">
      <alignment horizontal="center" vertical="center"/>
    </xf>
    <xf borderId="24" fillId="2" fontId="9" numFmtId="165" xfId="0" applyAlignment="1" applyBorder="1" applyFill="1" applyFont="1" applyNumberFormat="1">
      <alignment horizontal="center" readingOrder="0" vertical="center"/>
    </xf>
    <xf borderId="23" fillId="2" fontId="9" numFmtId="164" xfId="0" applyAlignment="1" applyBorder="1" applyFill="1" applyFont="1" applyNumberFormat="1">
      <alignment horizontal="center" readingOrder="0" vertical="center"/>
    </xf>
    <xf borderId="25" fillId="2" fontId="9" numFmtId="165" xfId="0" applyAlignment="1" applyBorder="1" applyFill="1" applyFont="1" applyNumberFormat="1">
      <alignment horizontal="center" readingOrder="0" vertical="center"/>
    </xf>
    <xf borderId="5" fillId="5" fontId="11" numFmtId="1" xfId="0" applyAlignment="1" applyBorder="1" applyFill="1" applyFont="1" applyNumberFormat="1">
      <alignment horizontal="center" vertical="center"/>
    </xf>
    <xf borderId="6" fillId="5" fontId="11" numFmtId="0" xfId="0" applyAlignment="1" applyBorder="1" applyFill="1" applyFont="1">
      <alignment horizontal="center" vertical="center"/>
    </xf>
    <xf borderId="26" fillId="2" fontId="9" numFmtId="165" xfId="0" applyAlignment="1" applyBorder="1" applyFill="1" applyFont="1" applyNumberFormat="1">
      <alignment horizontal="center" vertical="center"/>
    </xf>
    <xf borderId="27" fillId="2" fontId="9" numFmtId="0" xfId="0" applyAlignment="1" applyBorder="1" applyFill="1" applyFont="1">
      <alignment readingOrder="0" vertical="center"/>
    </xf>
    <xf borderId="7" fillId="5" fontId="11" numFmtId="1" xfId="0" applyAlignment="1" applyBorder="1" applyFill="1" applyFont="1" applyNumberFormat="1">
      <alignment horizontal="center" vertical="center"/>
    </xf>
    <xf borderId="28" fillId="2" fontId="9" numFmtId="9" xfId="0" applyAlignment="1" applyBorder="1" applyFill="1" applyFont="1" applyNumberFormat="1">
      <alignment horizontal="center" readingOrder="0" vertical="center"/>
    </xf>
    <xf borderId="2" fillId="4" fontId="11" numFmtId="1" xfId="0" applyAlignment="1" applyBorder="1" applyFill="1" applyFont="1" applyNumberFormat="1">
      <alignment horizontal="center" readingOrder="0" vertical="center"/>
    </xf>
    <xf borderId="29" fillId="2" fontId="9" numFmtId="165" xfId="0" applyAlignment="1" applyBorder="1" applyFill="1" applyFont="1" applyNumberFormat="1">
      <alignment horizontal="center" vertical="center"/>
    </xf>
    <xf borderId="3" fillId="4" fontId="11" numFmtId="0" xfId="0" applyAlignment="1" applyBorder="1" applyFill="1" applyFont="1">
      <alignment horizontal="center" readingOrder="0" vertical="center"/>
    </xf>
    <xf borderId="30" fillId="2" fontId="9" numFmtId="9" xfId="0" applyAlignment="1" applyBorder="1" applyFill="1" applyFont="1" applyNumberFormat="1">
      <alignment horizontal="center" readingOrder="0" vertical="center"/>
    </xf>
    <xf borderId="31" fillId="0" fontId="12" numFmtId="0" xfId="0" applyAlignment="1" applyBorder="1" applyFont="1">
      <alignment horizontal="center" readingOrder="0" shrinkToFit="0" vertical="center" wrapText="1"/>
    </xf>
    <xf borderId="4" fillId="4" fontId="11" numFmtId="1" xfId="0" applyAlignment="1" applyBorder="1" applyFill="1" applyFont="1" applyNumberFormat="1">
      <alignment horizontal="center" readingOrder="0" vertical="center"/>
    </xf>
    <xf borderId="28" fillId="2" fontId="9" numFmtId="165" xfId="0" applyAlignment="1" applyBorder="1" applyFill="1" applyFont="1" applyNumberFormat="1">
      <alignment horizontal="center" vertical="center"/>
    </xf>
    <xf borderId="32" fillId="7" fontId="9" numFmtId="0" xfId="0" applyAlignment="1" applyBorder="1" applyFill="1" applyFont="1">
      <alignment readingOrder="0" vertical="center"/>
    </xf>
    <xf borderId="33" fillId="2" fontId="9" numFmtId="165" xfId="0" applyAlignment="1" applyBorder="1" applyFill="1" applyFont="1" applyNumberFormat="1">
      <alignment horizontal="center" readingOrder="0" vertical="center"/>
    </xf>
    <xf borderId="32" fillId="7" fontId="9" numFmtId="164" xfId="0" applyAlignment="1" applyBorder="1" applyFill="1" applyFont="1" applyNumberFormat="1">
      <alignment horizontal="center" readingOrder="0" vertical="center"/>
    </xf>
    <xf borderId="34" fillId="2" fontId="9" numFmtId="165" xfId="0" applyAlignment="1" applyBorder="1" applyFill="1" applyFont="1" applyNumberFormat="1">
      <alignment horizontal="center" readingOrder="0" vertical="center"/>
    </xf>
    <xf borderId="0" fillId="7" fontId="9" numFmtId="165" xfId="0" applyAlignment="1" applyFill="1" applyFont="1" applyNumberFormat="1">
      <alignment horizontal="center" readingOrder="0" vertical="center"/>
    </xf>
    <xf borderId="0" fillId="7" fontId="9" numFmtId="164" xfId="0" applyAlignment="1" applyFill="1" applyFont="1" applyNumberFormat="1">
      <alignment horizontal="center" readingOrder="0" vertical="center"/>
    </xf>
    <xf borderId="35" fillId="2" fontId="9" numFmtId="165" xfId="0" applyAlignment="1" applyBorder="1" applyFill="1" applyFont="1" applyNumberFormat="1">
      <alignment horizontal="center" vertical="center"/>
    </xf>
    <xf borderId="36" fillId="7" fontId="9" numFmtId="165" xfId="0" applyAlignment="1" applyBorder="1" applyFill="1" applyFont="1" applyNumberFormat="1">
      <alignment horizontal="center" readingOrder="0" vertical="center"/>
    </xf>
    <xf borderId="37" fillId="7" fontId="9" numFmtId="165" xfId="0" applyAlignment="1" applyBorder="1" applyFill="1" applyFont="1" applyNumberFormat="1">
      <alignment horizontal="center" readingOrder="0" vertical="center"/>
    </xf>
    <xf borderId="38" fillId="7" fontId="9" numFmtId="165" xfId="0" applyAlignment="1" applyBorder="1" applyFill="1" applyFont="1" applyNumberFormat="1">
      <alignment horizontal="center" vertical="center"/>
    </xf>
    <xf borderId="0" fillId="0" fontId="12" numFmtId="0" xfId="0" applyAlignment="1" applyFont="1">
      <alignment horizontal="center" readingOrder="0" shrinkToFit="0" vertical="center" wrapText="1"/>
    </xf>
    <xf borderId="39" fillId="7" fontId="9" numFmtId="0" xfId="0" applyAlignment="1" applyBorder="1" applyFill="1" applyFont="1">
      <alignment readingOrder="0" vertical="center"/>
    </xf>
    <xf borderId="40" fillId="7" fontId="9" numFmtId="164" xfId="0" applyAlignment="1" applyBorder="1" applyFill="1" applyFont="1" applyNumberFormat="1">
      <alignment horizontal="center" readingOrder="0" vertical="center"/>
    </xf>
    <xf borderId="41" fillId="7" fontId="9" numFmtId="165" xfId="0" applyAlignment="1" applyBorder="1" applyFill="1" applyFont="1" applyNumberFormat="1">
      <alignment horizontal="center" vertical="center"/>
    </xf>
    <xf borderId="42" fillId="7" fontId="9" numFmtId="164" xfId="0" applyAlignment="1" applyBorder="1" applyFill="1" applyFont="1" applyNumberFormat="1">
      <alignment horizontal="center" readingOrder="0" vertical="center"/>
    </xf>
    <xf borderId="43" fillId="7" fontId="9" numFmtId="165" xfId="0" applyAlignment="1" applyBorder="1" applyFill="1" applyFont="1" applyNumberFormat="1">
      <alignment horizontal="center" vertical="center"/>
    </xf>
    <xf borderId="44" fillId="7" fontId="9" numFmtId="165" xfId="0" applyAlignment="1" applyBorder="1" applyFill="1" applyFont="1" applyNumberFormat="1">
      <alignment horizontal="center" readingOrder="0" vertical="center"/>
    </xf>
    <xf borderId="45" fillId="7" fontId="9" numFmtId="165" xfId="0" applyAlignment="1" applyBorder="1" applyFill="1" applyFont="1" applyNumberFormat="1">
      <alignment horizontal="center" readingOrder="0" vertical="center"/>
    </xf>
    <xf borderId="46" fillId="2" fontId="9" numFmtId="165" xfId="0" applyAlignment="1" applyBorder="1" applyFill="1" applyFont="1" applyNumberFormat="1">
      <alignment horizontal="center" readingOrder="0" vertical="center"/>
    </xf>
    <xf borderId="47" fillId="7" fontId="9" numFmtId="165" xfId="0" applyAlignment="1" applyBorder="1" applyFill="1" applyFont="1" applyNumberFormat="1">
      <alignment horizontal="center" vertical="center"/>
    </xf>
    <xf borderId="48" fillId="7" fontId="9" numFmtId="0" xfId="0" applyAlignment="1" applyBorder="1" applyFill="1" applyFont="1">
      <alignment readingOrder="0" vertical="center"/>
    </xf>
    <xf borderId="49" fillId="7" fontId="9" numFmtId="164" xfId="0" applyAlignment="1" applyBorder="1" applyFill="1" applyFont="1" applyNumberFormat="1">
      <alignment horizontal="center" readingOrder="0" vertical="center"/>
    </xf>
    <xf borderId="50" fillId="7" fontId="9" numFmtId="165" xfId="0" applyAlignment="1" applyBorder="1" applyFill="1" applyFont="1" applyNumberFormat="1">
      <alignment horizontal="center" vertical="center"/>
    </xf>
    <xf borderId="51" fillId="7" fontId="9" numFmtId="164" xfId="0" applyAlignment="1" applyBorder="1" applyFill="1" applyFont="1" applyNumberFormat="1">
      <alignment horizontal="center" readingOrder="0" vertical="center"/>
    </xf>
    <xf borderId="52" fillId="7" fontId="9" numFmtId="165" xfId="0" applyAlignment="1" applyBorder="1" applyFill="1" applyFont="1" applyNumberFormat="1">
      <alignment horizontal="center" vertical="center"/>
    </xf>
    <xf borderId="53" fillId="6" fontId="16" numFmtId="0" xfId="0" applyAlignment="1" applyBorder="1" applyFill="1" applyFont="1">
      <alignment readingOrder="0" vertical="center"/>
    </xf>
    <xf borderId="54" fillId="7" fontId="9" numFmtId="165" xfId="0" applyAlignment="1" applyBorder="1" applyFill="1" applyFont="1" applyNumberFormat="1">
      <alignment horizontal="center" readingOrder="0" vertical="center"/>
    </xf>
    <xf borderId="55" fillId="7" fontId="9" numFmtId="165" xfId="0" applyAlignment="1" applyBorder="1" applyFill="1" applyFont="1" applyNumberFormat="1">
      <alignment horizontal="center" readingOrder="0" vertical="center"/>
    </xf>
    <xf borderId="56" fillId="6" fontId="17" numFmtId="164" xfId="0" applyAlignment="1" applyBorder="1" applyFill="1" applyFont="1" applyNumberFormat="1">
      <alignment horizontal="center" vertical="center"/>
    </xf>
    <xf borderId="57" fillId="7" fontId="9" numFmtId="165" xfId="0" applyAlignment="1" applyBorder="1" applyFill="1" applyFont="1" applyNumberFormat="1">
      <alignment horizontal="center" vertical="center"/>
    </xf>
    <xf borderId="58" fillId="6" fontId="17" numFmtId="165" xfId="0" applyAlignment="1" applyBorder="1" applyFill="1" applyFont="1" applyNumberFormat="1">
      <alignment horizontal="center" vertical="center"/>
    </xf>
    <xf borderId="0" fillId="0" fontId="18" numFmtId="0" xfId="0" applyAlignment="1" applyFont="1">
      <alignment horizontal="left" readingOrder="0" shrinkToFit="0" vertical="center" wrapText="1"/>
    </xf>
    <xf borderId="59" fillId="6" fontId="17" numFmtId="164" xfId="0" applyAlignment="1" applyBorder="1" applyFill="1" applyFont="1" applyNumberFormat="1">
      <alignment horizontal="center" vertical="center"/>
    </xf>
    <xf borderId="56" fillId="6" fontId="17" numFmtId="165" xfId="0" applyAlignment="1" applyBorder="1" applyFill="1" applyFont="1" applyNumberFormat="1">
      <alignment horizontal="center" vertical="center"/>
    </xf>
    <xf borderId="60" fillId="2" fontId="9" numFmtId="0" xfId="0" applyAlignment="1" applyBorder="1" applyFill="1" applyFont="1">
      <alignment readingOrder="0" vertical="center"/>
    </xf>
    <xf borderId="61" fillId="6" fontId="16" numFmtId="165" xfId="0" applyAlignment="1" applyBorder="1" applyFill="1" applyFont="1" applyNumberFormat="1">
      <alignment horizontal="center" vertical="center"/>
    </xf>
    <xf borderId="62" fillId="6" fontId="19" numFmtId="165" xfId="0" applyAlignment="1" applyBorder="1" applyFill="1" applyFont="1" applyNumberFormat="1">
      <alignment horizontal="center" vertical="center"/>
    </xf>
    <xf borderId="27" fillId="2" fontId="9" numFmtId="164" xfId="0" applyAlignment="1" applyBorder="1" applyFill="1" applyFont="1" applyNumberFormat="1">
      <alignment horizontal="center" readingOrder="0" vertical="center"/>
    </xf>
    <xf borderId="63" fillId="6" fontId="20" numFmtId="165" xfId="0" applyAlignment="1" applyBorder="1" applyFill="1" applyFont="1" applyNumberFormat="1">
      <alignment horizontal="center" vertical="center"/>
    </xf>
    <xf borderId="0" fillId="0" fontId="16" numFmtId="0" xfId="0" applyAlignment="1" applyFont="1">
      <alignment horizontal="center" vertical="center"/>
    </xf>
    <xf borderId="29" fillId="8" fontId="21" numFmtId="0" xfId="0" applyAlignment="1" applyBorder="1" applyFill="1" applyFont="1">
      <alignment horizontal="center" readingOrder="0" vertical="center"/>
    </xf>
    <xf borderId="64" fillId="0" fontId="5" numFmtId="0" xfId="0" applyBorder="1" applyFont="1"/>
    <xf borderId="30" fillId="2" fontId="9" numFmtId="164" xfId="0" applyAlignment="1" applyBorder="1" applyFill="1" applyFont="1" applyNumberFormat="1">
      <alignment horizontal="center" readingOrder="0" vertical="center"/>
    </xf>
    <xf borderId="28" fillId="8" fontId="21" numFmtId="165" xfId="0" applyAlignment="1" applyBorder="1" applyFill="1" applyFont="1" applyNumberFormat="1">
      <alignment horizontal="center" vertical="center"/>
    </xf>
    <xf borderId="65" fillId="7" fontId="9" numFmtId="0" xfId="0" applyAlignment="1" applyBorder="1" applyFill="1" applyFont="1">
      <alignment readingOrder="0" vertical="center"/>
    </xf>
    <xf borderId="66" fillId="7" fontId="9" numFmtId="164" xfId="0" applyAlignment="1" applyBorder="1" applyFill="1" applyFont="1" applyNumberFormat="1">
      <alignment horizontal="center" readingOrder="0" vertical="center"/>
    </xf>
    <xf borderId="0" fillId="6" fontId="16" numFmtId="0" xfId="0" applyAlignment="1" applyFill="1" applyFont="1">
      <alignment readingOrder="0" vertical="center"/>
    </xf>
    <xf borderId="67" fillId="7" fontId="9" numFmtId="165" xfId="0" applyAlignment="1" applyBorder="1" applyFill="1" applyFont="1" applyNumberFormat="1">
      <alignment horizontal="center" vertical="center"/>
    </xf>
    <xf borderId="68" fillId="7" fontId="9" numFmtId="164" xfId="0" applyAlignment="1" applyBorder="1" applyFill="1" applyFont="1" applyNumberFormat="1">
      <alignment horizontal="center" readingOrder="0" vertical="center"/>
    </xf>
    <xf borderId="69" fillId="7" fontId="9" numFmtId="165" xfId="0" applyAlignment="1" applyBorder="1" applyFill="1" applyFont="1" applyNumberFormat="1">
      <alignment horizontal="center" vertical="center"/>
    </xf>
    <xf borderId="70" fillId="7" fontId="9" numFmtId="165" xfId="0" applyAlignment="1" applyBorder="1" applyFill="1" applyFont="1" applyNumberFormat="1">
      <alignment horizontal="center" readingOrder="0" vertical="center"/>
    </xf>
    <xf borderId="71" fillId="7" fontId="9" numFmtId="165" xfId="0" applyAlignment="1" applyBorder="1" applyFill="1" applyFont="1" applyNumberFormat="1">
      <alignment horizontal="center" readingOrder="0" vertical="center"/>
    </xf>
    <xf borderId="52" fillId="7" fontId="9" numFmtId="165" xfId="0" applyAlignment="1" applyBorder="1" applyFill="1" applyFont="1" applyNumberFormat="1">
      <alignment horizontal="center" readingOrder="0" vertical="center"/>
    </xf>
    <xf borderId="72" fillId="7" fontId="9" numFmtId="164" xfId="0" applyAlignment="1" applyBorder="1" applyFill="1" applyFont="1" applyNumberFormat="1">
      <alignment horizontal="center" readingOrder="0" vertical="center"/>
    </xf>
    <xf borderId="73" fillId="7" fontId="9" numFmtId="165" xfId="0" applyAlignment="1" applyBorder="1" applyFill="1" applyFont="1" applyNumberFormat="1">
      <alignment horizontal="center" vertical="center"/>
    </xf>
    <xf borderId="74" fillId="7" fontId="9" numFmtId="165" xfId="0" applyAlignment="1" applyBorder="1" applyFill="1" applyFont="1" applyNumberFormat="1">
      <alignment horizontal="center" readingOrder="0" vertical="center"/>
    </xf>
    <xf borderId="75" fillId="7" fontId="9" numFmtId="165" xfId="0" applyAlignment="1" applyBorder="1" applyFill="1" applyFont="1" applyNumberFormat="1">
      <alignment horizontal="center" readingOrder="0" vertical="center"/>
    </xf>
    <xf borderId="73" fillId="7" fontId="9" numFmtId="165" xfId="0" applyAlignment="1" applyBorder="1" applyFill="1" applyFont="1" applyNumberFormat="1">
      <alignment horizontal="center" readingOrder="0" vertical="center"/>
    </xf>
    <xf borderId="43" fillId="7" fontId="9" numFmtId="165" xfId="0" applyAlignment="1" applyBorder="1" applyFill="1" applyFont="1" applyNumberFormat="1">
      <alignment horizontal="center" readingOrder="0" vertical="center"/>
    </xf>
    <xf borderId="76" fillId="7" fontId="9" numFmtId="164" xfId="0" applyAlignment="1" applyBorder="1" applyFill="1" applyFont="1" applyNumberFormat="1">
      <alignment horizontal="center" readingOrder="0" vertical="center"/>
    </xf>
    <xf borderId="77" fillId="7" fontId="9" numFmtId="165" xfId="0" applyAlignment="1" applyBorder="1" applyFill="1" applyFont="1" applyNumberFormat="1">
      <alignment horizontal="center" vertical="center"/>
    </xf>
    <xf borderId="49" fillId="7" fontId="9" numFmtId="10" xfId="0" applyAlignment="1" applyBorder="1" applyFill="1" applyFont="1" applyNumberFormat="1">
      <alignment horizontal="center" readingOrder="0" vertical="center"/>
    </xf>
    <xf borderId="78" fillId="7" fontId="9" numFmtId="0" xfId="0" applyAlignment="1" applyBorder="1" applyFill="1" applyFont="1">
      <alignment readingOrder="0" vertical="center"/>
    </xf>
    <xf borderId="79" fillId="7" fontId="9" numFmtId="164" xfId="0" applyAlignment="1" applyBorder="1" applyFill="1" applyFont="1" applyNumberFormat="1">
      <alignment horizontal="center" readingOrder="0" vertical="center"/>
    </xf>
    <xf borderId="80" fillId="7" fontId="9" numFmtId="165" xfId="0" applyAlignment="1" applyBorder="1" applyFill="1" applyFont="1" applyNumberFormat="1">
      <alignment horizontal="center" vertical="center"/>
    </xf>
    <xf borderId="81" fillId="7" fontId="9" numFmtId="164" xfId="0" applyAlignment="1" applyBorder="1" applyFill="1" applyFont="1" applyNumberFormat="1">
      <alignment horizontal="center" readingOrder="0" vertical="center"/>
    </xf>
    <xf borderId="82" fillId="7" fontId="9" numFmtId="165" xfId="0" applyAlignment="1" applyBorder="1" applyFill="1" applyFont="1" applyNumberFormat="1">
      <alignment horizontal="center" vertical="center"/>
    </xf>
    <xf borderId="83" fillId="7" fontId="9" numFmtId="165" xfId="0" applyAlignment="1" applyBorder="1" applyFill="1" applyFont="1" applyNumberFormat="1">
      <alignment horizontal="center" readingOrder="0" vertical="center"/>
    </xf>
    <xf borderId="84" fillId="7" fontId="9" numFmtId="165" xfId="0" applyAlignment="1" applyBorder="1" applyFill="1" applyFont="1" applyNumberFormat="1">
      <alignment horizontal="center" readingOrder="0" vertical="center"/>
    </xf>
    <xf borderId="85" fillId="7" fontId="9" numFmtId="165" xfId="0" applyAlignment="1" applyBorder="1" applyFill="1" applyFont="1" applyNumberFormat="1">
      <alignment horizontal="center" readingOrder="0" vertical="center"/>
    </xf>
    <xf borderId="86" fillId="7" fontId="9" numFmtId="165" xfId="0" applyAlignment="1" applyBorder="1" applyFill="1" applyFont="1" applyNumberFormat="1">
      <alignment horizontal="center" vertical="center"/>
    </xf>
    <xf borderId="87" fillId="7" fontId="9" numFmtId="165" xfId="0" applyAlignment="1" applyBorder="1" applyFill="1" applyFont="1" applyNumberFormat="1">
      <alignment horizontal="center" readingOrder="0" vertical="center"/>
    </xf>
    <xf borderId="71" fillId="7" fontId="9" numFmtId="165" xfId="0" applyAlignment="1" applyBorder="1" applyFill="1" applyFont="1" applyNumberFormat="1">
      <alignment horizontal="center" vertical="center"/>
    </xf>
    <xf borderId="0" fillId="0" fontId="1" numFmtId="0" xfId="0" applyAlignment="1" applyFont="1">
      <alignment horizontal="center" readingOrder="0" shrinkToFit="0" vertical="center" wrapText="1"/>
    </xf>
    <xf borderId="88" fillId="7" fontId="9" numFmtId="164" xfId="0" applyAlignment="1" applyBorder="1" applyFill="1" applyFont="1" applyNumberFormat="1">
      <alignment horizontal="center" readingOrder="0" vertical="center"/>
    </xf>
    <xf borderId="86" fillId="7" fontId="9" numFmtId="165" xfId="0" applyAlignment="1" applyBorder="1" applyFill="1" applyFont="1" applyNumberFormat="1">
      <alignment horizontal="center" readingOrder="0" vertical="center"/>
    </xf>
    <xf borderId="89" fillId="7" fontId="9" numFmtId="165" xfId="0" applyAlignment="1" applyBorder="1" applyFill="1" applyFont="1" applyNumberFormat="1">
      <alignment horizontal="center" readingOrder="0" vertical="center"/>
    </xf>
    <xf borderId="88" fillId="7" fontId="9" numFmtId="9" xfId="0" applyAlignment="1" applyBorder="1" applyFill="1" applyFont="1" applyNumberFormat="1">
      <alignment horizontal="center" readingOrder="0" vertical="center"/>
    </xf>
    <xf borderId="90" fillId="7" fontId="9" numFmtId="164" xfId="0" applyAlignment="1" applyBorder="1" applyFill="1" applyFont="1" applyNumberFormat="1">
      <alignment horizontal="center" readingOrder="0" vertical="center"/>
    </xf>
    <xf borderId="91" fillId="7" fontId="9" numFmtId="0" xfId="0" applyAlignment="1" applyBorder="1" applyFill="1" applyFont="1">
      <alignment readingOrder="0" vertical="center"/>
    </xf>
    <xf borderId="92" fillId="7" fontId="9" numFmtId="164" xfId="0" applyAlignment="1" applyBorder="1" applyFill="1" applyFont="1" applyNumberFormat="1">
      <alignment horizontal="center" readingOrder="0" vertical="center"/>
    </xf>
    <xf borderId="93" fillId="7" fontId="9" numFmtId="164" xfId="0" applyAlignment="1" applyBorder="1" applyFill="1" applyFont="1" applyNumberFormat="1">
      <alignment horizontal="center" readingOrder="0" vertical="center"/>
    </xf>
    <xf borderId="94" fillId="7" fontId="9" numFmtId="165" xfId="0" applyAlignment="1" applyBorder="1" applyFill="1" applyFont="1" applyNumberFormat="1">
      <alignment horizontal="center" vertical="center"/>
    </xf>
    <xf borderId="75" fillId="7" fontId="9" numFmtId="165" xfId="0" applyAlignment="1" applyBorder="1" applyFill="1" applyFont="1" applyNumberFormat="1">
      <alignment horizontal="center" vertical="center"/>
    </xf>
    <xf borderId="95" fillId="7" fontId="9" numFmtId="165" xfId="0" applyAlignment="1" applyBorder="1" applyFill="1" applyFont="1" applyNumberFormat="1">
      <alignment horizontal="center" readingOrder="0" vertical="center"/>
    </xf>
    <xf borderId="47" fillId="7" fontId="9" numFmtId="165" xfId="0" applyAlignment="1" applyBorder="1" applyFill="1" applyFont="1" applyNumberFormat="1">
      <alignment horizontal="center" readingOrder="0" vertical="center"/>
    </xf>
    <xf borderId="96" fillId="7" fontId="9" numFmtId="165" xfId="0" applyAlignment="1" applyBorder="1" applyFill="1" applyFont="1" applyNumberFormat="1">
      <alignment horizontal="center" readingOrder="0" vertical="center"/>
    </xf>
    <xf borderId="57" fillId="7" fontId="9" numFmtId="165" xfId="0" applyAlignment="1" applyBorder="1" applyFill="1" applyFont="1" applyNumberFormat="1">
      <alignment horizontal="center" readingOrder="0" vertical="center"/>
    </xf>
    <xf borderId="97" fillId="7" fontId="9" numFmtId="165" xfId="0" applyAlignment="1" applyBorder="1" applyFill="1" applyFont="1" applyNumberFormat="1">
      <alignment horizontal="center" readingOrder="0" vertical="center"/>
    </xf>
    <xf borderId="98" fillId="7" fontId="9" numFmtId="165" xfId="0" applyAlignment="1" applyBorder="1" applyFill="1" applyFont="1" applyNumberFormat="1">
      <alignment horizontal="center" readingOrder="0" vertical="center"/>
    </xf>
    <xf borderId="99" fillId="7" fontId="9" numFmtId="165" xfId="0" applyAlignment="1" applyBorder="1" applyFill="1" applyFont="1" applyNumberFormat="1">
      <alignment horizontal="center" vertical="center"/>
    </xf>
    <xf borderId="80" fillId="7" fontId="9" numFmtId="165" xfId="0" applyAlignment="1" applyBorder="1" applyFill="1" applyFont="1" applyNumberFormat="1">
      <alignment horizontal="center" readingOrder="0" vertical="center"/>
    </xf>
    <xf borderId="66" fillId="7" fontId="9" numFmtId="10" xfId="0" applyAlignment="1" applyBorder="1" applyFill="1" applyFont="1" applyNumberFormat="1">
      <alignment horizontal="center" readingOrder="0" vertical="center"/>
    </xf>
    <xf borderId="67" fillId="7" fontId="9" numFmtId="165" xfId="0" applyAlignment="1" applyBorder="1" applyFill="1" applyFont="1" applyNumberFormat="1">
      <alignment horizontal="center" readingOrder="0" vertical="center"/>
    </xf>
    <xf borderId="100" fillId="7" fontId="9" numFmtId="165" xfId="0" applyAlignment="1" applyBorder="1" applyFill="1" applyFont="1" applyNumberFormat="1">
      <alignment horizontal="center" readingOrder="0" vertical="center"/>
    </xf>
    <xf borderId="101" fillId="7" fontId="9" numFmtId="165" xfId="0" applyAlignment="1" applyBorder="1" applyFill="1" applyFont="1" applyNumberFormat="1">
      <alignment horizontal="center" readingOrder="0" vertical="center"/>
    </xf>
    <xf borderId="0" fillId="0" fontId="22" numFmtId="0" xfId="0" applyFont="1"/>
    <xf borderId="102" fillId="6" fontId="16" numFmtId="0" xfId="0" applyAlignment="1" applyBorder="1" applyFill="1" applyFont="1">
      <alignment readingOrder="0" vertical="center"/>
    </xf>
    <xf borderId="53" fillId="6" fontId="17" numFmtId="164" xfId="0" applyAlignment="1" applyBorder="1" applyFill="1" applyFont="1" applyNumberFormat="1">
      <alignment horizontal="center" vertical="center"/>
    </xf>
  </cellXfs>
  <cellStyles count="1">
    <cellStyle xfId="0" name="Normal" builtinId="0"/>
  </cellStyles>
  <dxfs count="9">
    <dxf>
      <font/>
      <fill>
        <patternFill patternType="none"/>
      </fill>
      <border/>
    </dxf>
    <dxf>
      <font/>
      <fill>
        <patternFill patternType="solid">
          <fgColor rgb="FFB6D7A8"/>
          <bgColor rgb="FFB6D7A8"/>
        </patternFill>
      </fill>
      <border/>
    </dxf>
    <dxf>
      <font/>
      <fill>
        <patternFill patternType="solid">
          <fgColor rgb="FFEA9999"/>
          <bgColor rgb="FFEA9999"/>
        </patternFill>
      </fill>
      <border/>
    </dxf>
    <dxf>
      <font/>
      <fill>
        <patternFill patternType="solid">
          <fgColor rgb="FFFFE599"/>
          <bgColor rgb="FFFFE599"/>
        </patternFill>
      </fill>
      <border/>
    </dxf>
    <dxf>
      <font/>
      <fill>
        <patternFill patternType="none"/>
      </fill>
      <border/>
    </dxf>
    <dxf>
      <font/>
      <fill>
        <patternFill patternType="solid">
          <fgColor rgb="FFEFEFEF"/>
          <bgColor rgb="FFEFEFEF"/>
        </patternFill>
      </fill>
      <border/>
    </dxf>
    <dxf>
      <font>
        <color rgb="FF38761D"/>
      </font>
      <fill>
        <patternFill patternType="solid">
          <fgColor rgb="FFEBEFF1"/>
          <bgColor rgb="FFEBEFF1"/>
        </patternFill>
      </fill>
      <border/>
    </dxf>
    <dxf>
      <font>
        <color rgb="FF990000"/>
      </font>
      <fill>
        <patternFill patternType="solid">
          <fgColor rgb="FFEBEFF1"/>
          <bgColor rgb="FFEBEFF1"/>
        </patternFill>
      </fill>
      <border/>
    </dxf>
    <dxf>
      <font/>
      <fill>
        <patternFill patternType="solid">
          <fgColor rgb="FF93C47D"/>
          <bgColor rgb="FF93C47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1228725</xdr:colOff>
      <xdr:row>4</xdr:row>
      <xdr:rowOff>57150</xdr:rowOff>
    </xdr:from>
    <xdr:ext cx="581025" cy="190500"/>
    <xdr:grpSp>
      <xdr:nvGrpSpPr>
        <xdr:cNvPr id="2" name="Shape 2" title="Drawing"/>
        <xdr:cNvGrpSpPr/>
      </xdr:nvGrpSpPr>
      <xdr:grpSpPr>
        <a:xfrm>
          <a:off x="1531100" y="1170825"/>
          <a:ext cx="520500" cy="9900"/>
          <a:chOff x="1531100" y="1170825"/>
          <a:chExt cx="520500" cy="9900"/>
        </a:xfrm>
      </xdr:grpSpPr>
      <xdr:cxnSp>
        <xdr:nvCxnSpPr>
          <xdr:cNvPr id="3" name="Shape 3"/>
          <xdr:cNvCxnSpPr/>
        </xdr:nvCxnSpPr>
        <xdr:spPr>
          <a:xfrm>
            <a:off x="1531100" y="1170825"/>
            <a:ext cx="520500" cy="9900"/>
          </a:xfrm>
          <a:prstGeom prst="straightConnector1">
            <a:avLst/>
          </a:prstGeom>
          <a:noFill/>
          <a:ln cap="flat" cmpd="sng" w="19050">
            <a:solidFill>
              <a:srgbClr val="FF0000"/>
            </a:solidFill>
            <a:prstDash val="solid"/>
            <a:round/>
            <a:headEnd len="med" w="med" type="triangle"/>
            <a:tailEnd len="med" w="med" type="none"/>
          </a:ln>
        </xdr:spPr>
      </xdr:cxnSp>
    </xdr:grpSp>
    <xdr:clientData fLocksWithSheet="0"/>
  </xdr:oneCellAnchor>
  <xdr:oneCellAnchor>
    <xdr:from>
      <xdr:col>11</xdr:col>
      <xdr:colOff>790575</xdr:colOff>
      <xdr:row>6</xdr:row>
      <xdr:rowOff>66675</xdr:rowOff>
    </xdr:from>
    <xdr:ext cx="190500" cy="190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1552575" cy="30480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19050</xdr:colOff>
      <xdr:row>3</xdr:row>
      <xdr:rowOff>95250</xdr:rowOff>
    </xdr:from>
    <xdr:ext cx="390525" cy="190500"/>
    <xdr:grpSp>
      <xdr:nvGrpSpPr>
        <xdr:cNvPr id="2" name="Shape 2" title="Drawing"/>
        <xdr:cNvGrpSpPr/>
      </xdr:nvGrpSpPr>
      <xdr:grpSpPr>
        <a:xfrm>
          <a:off x="1531100" y="1170825"/>
          <a:ext cx="520500" cy="9900"/>
          <a:chOff x="1531100" y="1170825"/>
          <a:chExt cx="520500" cy="9900"/>
        </a:xfrm>
      </xdr:grpSpPr>
      <xdr:cxnSp>
        <xdr:nvCxnSpPr>
          <xdr:cNvPr id="6" name="Shape 6"/>
          <xdr:cNvCxnSpPr/>
        </xdr:nvCxnSpPr>
        <xdr:spPr>
          <a:xfrm>
            <a:off x="1531100" y="1170825"/>
            <a:ext cx="520500" cy="9900"/>
          </a:xfrm>
          <a:prstGeom prst="straightConnector1">
            <a:avLst/>
          </a:prstGeom>
          <a:noFill/>
          <a:ln cap="flat" cmpd="sng" w="28575">
            <a:solidFill>
              <a:srgbClr val="FF0000"/>
            </a:solidFill>
            <a:prstDash val="solid"/>
            <a:round/>
            <a:headEnd len="med" w="med" type="triangle"/>
            <a:tailEnd len="med" w="med" type="none"/>
          </a:ln>
        </xdr:spPr>
      </xdr:cxn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1028700</xdr:colOff>
      <xdr:row>1</xdr:row>
      <xdr:rowOff>28575</xdr:rowOff>
    </xdr:from>
    <xdr:ext cx="542925" cy="190500"/>
    <xdr:grpSp>
      <xdr:nvGrpSpPr>
        <xdr:cNvPr id="2" name="Shape 2" title="Drawing"/>
        <xdr:cNvGrpSpPr/>
      </xdr:nvGrpSpPr>
      <xdr:grpSpPr>
        <a:xfrm>
          <a:off x="1531100" y="1170825"/>
          <a:ext cx="520500" cy="9900"/>
          <a:chOff x="1531100" y="1170825"/>
          <a:chExt cx="520500" cy="9900"/>
        </a:xfrm>
      </xdr:grpSpPr>
      <xdr:cxnSp>
        <xdr:nvCxnSpPr>
          <xdr:cNvPr id="5" name="Shape 5"/>
          <xdr:cNvCxnSpPr/>
        </xdr:nvCxnSpPr>
        <xdr:spPr>
          <a:xfrm>
            <a:off x="1531100" y="1170825"/>
            <a:ext cx="520500" cy="9900"/>
          </a:xfrm>
          <a:prstGeom prst="straightConnector1">
            <a:avLst/>
          </a:prstGeom>
          <a:noFill/>
          <a:ln cap="flat" cmpd="sng" w="28575">
            <a:solidFill>
              <a:srgbClr val="FF0000"/>
            </a:solidFill>
            <a:prstDash val="solid"/>
            <a:round/>
            <a:headEnd len="med" w="med" type="triangle"/>
            <a:tailEnd len="med" w="med" type="none"/>
          </a:ln>
        </xdr:spPr>
      </xdr:cxn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1133475</xdr:colOff>
      <xdr:row>1</xdr:row>
      <xdr:rowOff>38100</xdr:rowOff>
    </xdr:from>
    <xdr:ext cx="542925" cy="190500"/>
    <xdr:grpSp>
      <xdr:nvGrpSpPr>
        <xdr:cNvPr id="2" name="Shape 2" title="Drawing"/>
        <xdr:cNvGrpSpPr/>
      </xdr:nvGrpSpPr>
      <xdr:grpSpPr>
        <a:xfrm>
          <a:off x="1531100" y="1170825"/>
          <a:ext cx="520500" cy="9900"/>
          <a:chOff x="1531100" y="1170825"/>
          <a:chExt cx="520500" cy="9900"/>
        </a:xfrm>
      </xdr:grpSpPr>
      <xdr:cxnSp>
        <xdr:nvCxnSpPr>
          <xdr:cNvPr id="4" name="Shape 4"/>
          <xdr:cNvCxnSpPr/>
        </xdr:nvCxnSpPr>
        <xdr:spPr>
          <a:xfrm>
            <a:off x="1531100" y="1170825"/>
            <a:ext cx="520500" cy="9900"/>
          </a:xfrm>
          <a:prstGeom prst="straightConnector1">
            <a:avLst/>
          </a:prstGeom>
          <a:noFill/>
          <a:ln cap="flat" cmpd="sng" w="28575">
            <a:solidFill>
              <a:srgbClr val="FF0000"/>
            </a:solidFill>
            <a:prstDash val="solid"/>
            <a:round/>
            <a:headEnd len="med" w="med" type="triangle"/>
            <a:tailEnd len="med" w="med" type="none"/>
          </a:ln>
        </xdr:spPr>
      </xdr:cxnSp>
    </xdr:grp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63"/>
    <col customWidth="1" min="2" max="2" width="20.38"/>
    <col customWidth="1" min="3" max="3" width="7.13"/>
    <col customWidth="1" min="4" max="4" width="9.75"/>
    <col customWidth="1" min="5" max="5" width="7.5"/>
    <col customWidth="1" min="6" max="6" width="10.13"/>
    <col customWidth="1" min="7" max="7" width="13.38"/>
    <col customWidth="1" min="8" max="8" width="13.0"/>
    <col customWidth="1" min="9" max="9" width="16.0"/>
    <col customWidth="1" min="10" max="10" width="3.0"/>
    <col customWidth="1" min="11" max="11" width="4.88"/>
    <col customWidth="1" min="12" max="12" width="37.88"/>
    <col customWidth="1" min="13" max="13" width="26.0"/>
  </cols>
  <sheetData>
    <row r="1">
      <c r="A1" s="2"/>
      <c r="B1" s="2"/>
      <c r="C1" s="5"/>
      <c r="D1" s="5"/>
      <c r="E1" s="8"/>
      <c r="F1" s="5"/>
      <c r="G1" s="5"/>
      <c r="H1" s="5"/>
    </row>
    <row r="2" ht="87.75" customHeight="1">
      <c r="A2" s="2"/>
      <c r="B2" s="15"/>
      <c r="C2" s="16"/>
      <c r="D2" s="16"/>
      <c r="E2" s="16"/>
      <c r="F2" s="16"/>
      <c r="G2" s="16"/>
      <c r="H2" s="16"/>
      <c r="I2" s="18"/>
    </row>
    <row r="3" ht="29.25" customHeight="1">
      <c r="A3" s="2"/>
      <c r="B3" s="21"/>
      <c r="C3" s="13"/>
      <c r="D3" s="13"/>
      <c r="E3" s="13"/>
      <c r="F3" s="13"/>
      <c r="G3" s="13"/>
      <c r="H3" s="13"/>
      <c r="I3" s="14"/>
    </row>
    <row r="4" ht="10.5" customHeight="1">
      <c r="A4" s="2"/>
      <c r="B4" s="25"/>
      <c r="E4" s="28"/>
    </row>
    <row r="5" ht="28.5" customHeight="1">
      <c r="A5" s="2"/>
      <c r="B5" s="6" t="s">
        <v>9</v>
      </c>
      <c r="C5" s="9"/>
      <c r="D5" s="9"/>
      <c r="E5" s="9"/>
      <c r="F5" s="10"/>
      <c r="G5" s="12">
        <v>50000.0</v>
      </c>
      <c r="H5" s="9"/>
      <c r="I5" s="10"/>
      <c r="L5" s="31" t="s">
        <v>11</v>
      </c>
    </row>
    <row r="6" ht="9.75" customHeight="1">
      <c r="E6" s="28"/>
    </row>
    <row r="7" ht="24.75" customHeight="1">
      <c r="B7" s="27"/>
      <c r="C7" s="29" t="s">
        <v>12</v>
      </c>
      <c r="D7" s="9"/>
      <c r="E7" s="9"/>
      <c r="F7" s="10"/>
      <c r="G7" s="30" t="s">
        <v>10</v>
      </c>
      <c r="H7" s="9"/>
      <c r="I7" s="10"/>
      <c r="L7" s="37" t="s">
        <v>15</v>
      </c>
    </row>
    <row r="8">
      <c r="A8" s="2"/>
      <c r="B8" s="33"/>
      <c r="C8" s="17" t="s">
        <v>3</v>
      </c>
      <c r="D8" s="35"/>
      <c r="E8" s="44" t="s">
        <v>4</v>
      </c>
      <c r="F8" s="35"/>
      <c r="G8" s="36" t="s">
        <v>13</v>
      </c>
      <c r="H8" s="36" t="s">
        <v>14</v>
      </c>
      <c r="I8" s="36" t="s">
        <v>16</v>
      </c>
      <c r="L8" s="46"/>
    </row>
    <row r="9">
      <c r="A9" s="2"/>
      <c r="B9" s="48" t="s">
        <v>20</v>
      </c>
      <c r="C9" s="51">
        <v>0.07</v>
      </c>
      <c r="D9" s="47">
        <f>G5 * C9</f>
        <v>3500</v>
      </c>
      <c r="E9" s="55">
        <v>0.115</v>
      </c>
      <c r="F9" s="53">
        <f>G5 * E9</f>
        <v>5750</v>
      </c>
      <c r="G9" s="54">
        <f t="shared" ref="G9:H9" si="1">SUM(G10:G12)</f>
        <v>9100</v>
      </c>
      <c r="H9" s="56">
        <f t="shared" si="1"/>
        <v>9100</v>
      </c>
      <c r="I9" s="59">
        <f t="shared" ref="I9:I12" si="2">G9-H9</f>
        <v>0</v>
      </c>
      <c r="L9" s="67"/>
    </row>
    <row r="10" outlineLevel="1">
      <c r="A10" s="2"/>
      <c r="B10" s="70" t="s">
        <v>24</v>
      </c>
      <c r="C10" s="72">
        <v>0.02</v>
      </c>
      <c r="D10" s="74">
        <v>2000.0</v>
      </c>
      <c r="E10" s="75">
        <v>0.025</v>
      </c>
      <c r="F10" s="74">
        <v>2500.0</v>
      </c>
      <c r="G10" s="77">
        <v>2350.0</v>
      </c>
      <c r="H10" s="78">
        <v>2350.0</v>
      </c>
      <c r="I10" s="79">
        <f t="shared" si="2"/>
        <v>0</v>
      </c>
      <c r="L10" s="80"/>
    </row>
    <row r="11" outlineLevel="1">
      <c r="A11" s="2"/>
      <c r="B11" s="81" t="s">
        <v>26</v>
      </c>
      <c r="C11" s="82">
        <v>0.02</v>
      </c>
      <c r="D11" s="83">
        <f>G5 * C11</f>
        <v>1000</v>
      </c>
      <c r="E11" s="84">
        <v>0.0</v>
      </c>
      <c r="F11" s="85">
        <f>G5 * E11</f>
        <v>0</v>
      </c>
      <c r="G11" s="86">
        <v>0.0</v>
      </c>
      <c r="H11" s="87">
        <v>0.0</v>
      </c>
      <c r="I11" s="89">
        <f t="shared" si="2"/>
        <v>0</v>
      </c>
      <c r="L11" s="80"/>
    </row>
    <row r="12" outlineLevel="1">
      <c r="A12" s="2"/>
      <c r="B12" s="90" t="s">
        <v>29</v>
      </c>
      <c r="C12" s="91">
        <v>0.03</v>
      </c>
      <c r="D12" s="92">
        <f>G5 * C12</f>
        <v>1500</v>
      </c>
      <c r="E12" s="93">
        <v>0.09</v>
      </c>
      <c r="F12" s="94">
        <f>G5 * E12</f>
        <v>4500</v>
      </c>
      <c r="G12" s="96">
        <v>6750.0</v>
      </c>
      <c r="H12" s="97">
        <v>6750.0</v>
      </c>
      <c r="I12" s="99">
        <f t="shared" si="2"/>
        <v>0</v>
      </c>
      <c r="L12" s="101" t="s">
        <v>32</v>
      </c>
    </row>
    <row r="13" outlineLevel="1">
      <c r="A13" s="2"/>
      <c r="L13" s="80"/>
    </row>
    <row r="14">
      <c r="A14" s="2"/>
      <c r="B14" s="104" t="s">
        <v>28</v>
      </c>
      <c r="C14" s="107">
        <f>SUM(C15:C23)</f>
        <v>0.2</v>
      </c>
      <c r="D14" s="64">
        <f>G5 * C14</f>
        <v>10000</v>
      </c>
      <c r="E14" s="112">
        <f>SUM(E15:E23)</f>
        <v>0.2875</v>
      </c>
      <c r="F14" s="69">
        <f>G5 * E14</f>
        <v>14375</v>
      </c>
      <c r="G14" s="71">
        <f t="shared" ref="G14:H14" si="3">SUM(G15:G23)</f>
        <v>21763.91</v>
      </c>
      <c r="H14" s="73">
        <f t="shared" si="3"/>
        <v>18571</v>
      </c>
      <c r="I14" s="76">
        <f t="shared" ref="I14:I21" si="4">G14-H14</f>
        <v>3192.91</v>
      </c>
      <c r="L14" s="80"/>
    </row>
    <row r="15" outlineLevel="1">
      <c r="A15" s="2"/>
      <c r="B15" s="114" t="s">
        <v>34</v>
      </c>
      <c r="C15" s="115">
        <v>0.1</v>
      </c>
      <c r="D15" s="117">
        <f>G5 * C15</f>
        <v>5000</v>
      </c>
      <c r="E15" s="118">
        <v>0.12</v>
      </c>
      <c r="F15" s="119">
        <f>G5 * E15</f>
        <v>6000</v>
      </c>
      <c r="G15" s="86">
        <v>9852.0</v>
      </c>
      <c r="H15" s="120">
        <v>9852.0</v>
      </c>
      <c r="I15" s="121">
        <f t="shared" si="4"/>
        <v>0</v>
      </c>
      <c r="K15" s="2" t="s">
        <v>35</v>
      </c>
      <c r="L15" s="80"/>
    </row>
    <row r="16" outlineLevel="1">
      <c r="A16" s="2"/>
      <c r="B16" s="90" t="s">
        <v>36</v>
      </c>
      <c r="C16" s="91">
        <v>0.07</v>
      </c>
      <c r="D16" s="122">
        <f>G5 * C16</f>
        <v>3500</v>
      </c>
      <c r="E16" s="123">
        <v>0.12</v>
      </c>
      <c r="F16" s="124">
        <f>G5 * E16</f>
        <v>6000</v>
      </c>
      <c r="G16" s="125">
        <v>5580.0</v>
      </c>
      <c r="H16" s="97">
        <v>5580.0</v>
      </c>
      <c r="I16" s="126">
        <f t="shared" si="4"/>
        <v>0</v>
      </c>
      <c r="K16" s="2"/>
      <c r="L16" s="80" t="s">
        <v>37</v>
      </c>
    </row>
    <row r="17" outlineLevel="1">
      <c r="A17" s="2"/>
      <c r="B17" s="90" t="s">
        <v>38</v>
      </c>
      <c r="C17" s="91"/>
      <c r="D17" s="122">
        <v>1200.0</v>
      </c>
      <c r="E17" s="123"/>
      <c r="F17" s="127">
        <v>2000.0</v>
      </c>
      <c r="G17" s="125">
        <v>2728.18</v>
      </c>
      <c r="H17" s="97">
        <v>2728.0</v>
      </c>
      <c r="I17" s="126">
        <f t="shared" si="4"/>
        <v>0.18</v>
      </c>
      <c r="K17" s="2"/>
      <c r="L17" s="80"/>
    </row>
    <row r="18" outlineLevel="1">
      <c r="A18" s="2"/>
      <c r="B18" s="81" t="s">
        <v>39</v>
      </c>
      <c r="C18" s="82"/>
      <c r="D18" s="128"/>
      <c r="E18" s="129"/>
      <c r="F18" s="130"/>
      <c r="G18" s="86">
        <v>1500.0</v>
      </c>
      <c r="H18" s="87">
        <v>0.0</v>
      </c>
      <c r="I18" s="126">
        <f t="shared" si="4"/>
        <v>1500</v>
      </c>
      <c r="K18" s="2"/>
      <c r="L18" s="80"/>
    </row>
    <row r="19" outlineLevel="1">
      <c r="A19" s="2"/>
      <c r="B19" s="81" t="s">
        <v>40</v>
      </c>
      <c r="C19" s="82"/>
      <c r="D19" s="128"/>
      <c r="E19" s="129"/>
      <c r="F19" s="130"/>
      <c r="G19" s="86">
        <v>742.73</v>
      </c>
      <c r="H19" s="87">
        <v>0.0</v>
      </c>
      <c r="I19" s="126">
        <f t="shared" si="4"/>
        <v>742.73</v>
      </c>
      <c r="K19" s="2"/>
      <c r="L19" s="80"/>
    </row>
    <row r="20" outlineLevel="1">
      <c r="A20" s="2"/>
      <c r="B20" s="90" t="s">
        <v>41</v>
      </c>
      <c r="C20" s="91"/>
      <c r="D20" s="122"/>
      <c r="E20" s="123"/>
      <c r="F20" s="124"/>
      <c r="G20" s="125">
        <v>0.0</v>
      </c>
      <c r="H20" s="97">
        <v>0.0</v>
      </c>
      <c r="I20" s="126">
        <f t="shared" si="4"/>
        <v>0</v>
      </c>
      <c r="K20" s="2"/>
      <c r="L20" s="80"/>
    </row>
    <row r="21" outlineLevel="1">
      <c r="A21" s="2"/>
      <c r="B21" s="90" t="s">
        <v>42</v>
      </c>
      <c r="C21" s="131">
        <v>0.005</v>
      </c>
      <c r="D21" s="94">
        <f>G5 * C21</f>
        <v>250</v>
      </c>
      <c r="E21" s="123">
        <v>0.01</v>
      </c>
      <c r="F21" s="124">
        <f>G5 * E21</f>
        <v>500</v>
      </c>
      <c r="G21" s="125">
        <v>0.0</v>
      </c>
      <c r="H21" s="97">
        <v>0.0</v>
      </c>
      <c r="I21" s="126">
        <f t="shared" si="4"/>
        <v>0</v>
      </c>
      <c r="L21" s="80"/>
    </row>
    <row r="22" outlineLevel="1">
      <c r="A22" s="2"/>
      <c r="B22" s="90" t="s">
        <v>43</v>
      </c>
      <c r="C22" s="91">
        <v>0.005</v>
      </c>
      <c r="D22" s="94">
        <f>G5 * C22</f>
        <v>250</v>
      </c>
      <c r="E22" s="123">
        <v>0.0075</v>
      </c>
      <c r="F22" s="124">
        <f>G5 * E22</f>
        <v>375</v>
      </c>
      <c r="G22" s="125">
        <v>411.0</v>
      </c>
      <c r="H22" s="97">
        <v>411.0</v>
      </c>
      <c r="I22" s="126">
        <v>0.0</v>
      </c>
      <c r="L22" s="80"/>
    </row>
    <row r="23" outlineLevel="1">
      <c r="A23" s="2"/>
      <c r="B23" s="132" t="s">
        <v>44</v>
      </c>
      <c r="C23" s="133">
        <v>0.02</v>
      </c>
      <c r="D23" s="134">
        <f>G5 * C23</f>
        <v>1000</v>
      </c>
      <c r="E23" s="135">
        <v>0.03</v>
      </c>
      <c r="F23" s="136">
        <f>G5 * E23</f>
        <v>1500</v>
      </c>
      <c r="G23" s="137">
        <v>950.0</v>
      </c>
      <c r="H23" s="138">
        <v>0.0</v>
      </c>
      <c r="I23" s="139">
        <v>0.0</v>
      </c>
      <c r="L23" s="80"/>
    </row>
    <row r="24">
      <c r="A24" s="2"/>
      <c r="B24" s="104" t="s">
        <v>45</v>
      </c>
      <c r="C24" s="107">
        <f>SUM(C25:C37)</f>
        <v>0.33</v>
      </c>
      <c r="D24" s="64">
        <f>G5 * C24</f>
        <v>16500</v>
      </c>
      <c r="E24" s="112">
        <f>SUM(E25:E37)</f>
        <v>0.5</v>
      </c>
      <c r="F24" s="69">
        <f>G5 * E24</f>
        <v>25000</v>
      </c>
      <c r="G24" s="54">
        <f t="shared" ref="G24:H24" si="5">SUM(G25:G37)</f>
        <v>28738.63</v>
      </c>
      <c r="H24" s="73">
        <f t="shared" si="5"/>
        <v>24563.63</v>
      </c>
      <c r="I24" s="76">
        <f t="shared" ref="I24:I25" si="6">G24-H24</f>
        <v>4175</v>
      </c>
      <c r="L24" s="80"/>
    </row>
    <row r="25" outlineLevel="1">
      <c r="B25" s="81" t="s">
        <v>46</v>
      </c>
      <c r="C25" s="82">
        <v>0.03</v>
      </c>
      <c r="D25" s="128">
        <f>C25*G5</f>
        <v>1500</v>
      </c>
      <c r="E25" s="129">
        <v>0.08</v>
      </c>
      <c r="F25" s="140">
        <f>G5 * E25</f>
        <v>4000</v>
      </c>
      <c r="G25" s="86">
        <v>2100.0</v>
      </c>
      <c r="H25" s="141">
        <v>2100.0</v>
      </c>
      <c r="I25" s="142">
        <f t="shared" si="6"/>
        <v>0</v>
      </c>
      <c r="L25" s="143"/>
    </row>
    <row r="26" outlineLevel="1">
      <c r="B26" s="70" t="s">
        <v>47</v>
      </c>
      <c r="C26" s="144">
        <v>0.04</v>
      </c>
      <c r="D26" s="128">
        <f>C26*G5</f>
        <v>2000</v>
      </c>
      <c r="E26" s="129">
        <v>0.05</v>
      </c>
      <c r="F26" s="145">
        <v>0.0</v>
      </c>
      <c r="G26" s="86">
        <v>0.0</v>
      </c>
      <c r="H26" s="87">
        <v>0.0</v>
      </c>
      <c r="I26" s="146">
        <v>0.0</v>
      </c>
      <c r="L26" s="143"/>
    </row>
    <row r="27" outlineLevel="1">
      <c r="B27" s="70" t="s">
        <v>48</v>
      </c>
      <c r="C27" s="147">
        <v>0.02</v>
      </c>
      <c r="D27" s="85">
        <f>C27*G14</f>
        <v>435.2782</v>
      </c>
      <c r="E27" s="148">
        <v>0.04</v>
      </c>
      <c r="F27" s="140">
        <f>E27*I14</f>
        <v>127.7164</v>
      </c>
      <c r="G27" s="86">
        <v>300.0</v>
      </c>
      <c r="H27" s="87">
        <v>0.0</v>
      </c>
      <c r="I27" s="146">
        <f t="shared" ref="I27:I33" si="7">G27-H27</f>
        <v>300</v>
      </c>
      <c r="L27" s="143"/>
    </row>
    <row r="28" outlineLevel="1">
      <c r="B28" s="149" t="s">
        <v>49</v>
      </c>
      <c r="C28" s="150">
        <v>0.03</v>
      </c>
      <c r="D28" s="94">
        <f>G5 * C28</f>
        <v>1500</v>
      </c>
      <c r="E28" s="151">
        <v>0.04</v>
      </c>
      <c r="F28" s="152">
        <f>G5 * E28</f>
        <v>2000</v>
      </c>
      <c r="G28" s="125">
        <v>7000.0</v>
      </c>
      <c r="H28" s="87">
        <v>3500.0</v>
      </c>
      <c r="I28" s="139">
        <f t="shared" si="7"/>
        <v>3500</v>
      </c>
      <c r="L28" s="143"/>
    </row>
    <row r="29" outlineLevel="1">
      <c r="B29" s="90" t="s">
        <v>50</v>
      </c>
      <c r="C29" s="91">
        <v>0.005</v>
      </c>
      <c r="D29" s="94">
        <f>G5 * C29</f>
        <v>250</v>
      </c>
      <c r="E29" s="123">
        <v>0.01</v>
      </c>
      <c r="F29" s="152">
        <f>G5 * E29</f>
        <v>500</v>
      </c>
      <c r="G29" s="125">
        <v>0.0</v>
      </c>
      <c r="H29" s="87">
        <v>0.0</v>
      </c>
      <c r="I29" s="153">
        <f t="shared" si="7"/>
        <v>0</v>
      </c>
      <c r="L29" s="143"/>
    </row>
    <row r="30" outlineLevel="1">
      <c r="B30" s="90" t="s">
        <v>51</v>
      </c>
      <c r="C30" s="91">
        <v>0.02</v>
      </c>
      <c r="D30" s="85">
        <f>G5 * C30</f>
        <v>1000</v>
      </c>
      <c r="E30" s="129">
        <v>0.02</v>
      </c>
      <c r="F30" s="140">
        <f>G5 * E30</f>
        <v>1000</v>
      </c>
      <c r="G30" s="154">
        <v>1645.0</v>
      </c>
      <c r="H30" s="87">
        <v>1645.0</v>
      </c>
      <c r="I30" s="155">
        <f t="shared" si="7"/>
        <v>0</v>
      </c>
      <c r="L30" s="101" t="s">
        <v>52</v>
      </c>
    </row>
    <row r="31" outlineLevel="1">
      <c r="B31" s="90" t="s">
        <v>53</v>
      </c>
      <c r="C31" s="91">
        <v>0.035</v>
      </c>
      <c r="D31" s="85">
        <f>G5 * C31</f>
        <v>1750</v>
      </c>
      <c r="E31" s="123">
        <v>0.05</v>
      </c>
      <c r="F31" s="140">
        <f>G5 * E31</f>
        <v>2500</v>
      </c>
      <c r="G31" s="156">
        <v>3318.0</v>
      </c>
      <c r="H31" s="87">
        <v>3318.0</v>
      </c>
      <c r="I31" s="157">
        <f t="shared" si="7"/>
        <v>0</v>
      </c>
      <c r="L31" s="101" t="s">
        <v>54</v>
      </c>
    </row>
    <row r="32" outlineLevel="1">
      <c r="B32" s="90" t="s">
        <v>55</v>
      </c>
      <c r="C32" s="91">
        <v>0.1</v>
      </c>
      <c r="D32" s="94">
        <f>G5 * C32</f>
        <v>5000</v>
      </c>
      <c r="E32" s="123">
        <v>0.15</v>
      </c>
      <c r="F32" s="152">
        <f>G5 * E32</f>
        <v>7500</v>
      </c>
      <c r="G32" s="156">
        <v>10000.0</v>
      </c>
      <c r="H32" s="87">
        <v>10000.0</v>
      </c>
      <c r="I32" s="157">
        <f t="shared" si="7"/>
        <v>0</v>
      </c>
      <c r="L32" s="101" t="s">
        <v>56</v>
      </c>
    </row>
    <row r="33" outlineLevel="1">
      <c r="B33" s="90" t="s">
        <v>57</v>
      </c>
      <c r="C33" s="91"/>
      <c r="D33" s="94"/>
      <c r="E33" s="123"/>
      <c r="F33" s="152"/>
      <c r="G33" s="156">
        <v>750.0</v>
      </c>
      <c r="H33" s="87">
        <v>375.0</v>
      </c>
      <c r="I33" s="157">
        <f t="shared" si="7"/>
        <v>375</v>
      </c>
      <c r="L33" s="143"/>
    </row>
    <row r="34" outlineLevel="1">
      <c r="B34" s="90" t="s">
        <v>23</v>
      </c>
      <c r="C34" s="91">
        <v>0.02</v>
      </c>
      <c r="D34" s="94">
        <f>G5 * C34</f>
        <v>1000</v>
      </c>
      <c r="E34" s="123">
        <v>0.02</v>
      </c>
      <c r="F34" s="152">
        <f>G5 * E34</f>
        <v>1000</v>
      </c>
      <c r="G34" s="156">
        <v>1845.63</v>
      </c>
      <c r="H34" s="87">
        <v>1845.63</v>
      </c>
      <c r="I34" s="157">
        <v>0.0</v>
      </c>
      <c r="L34" s="143"/>
    </row>
    <row r="35" outlineLevel="1">
      <c r="B35" s="70" t="s">
        <v>58</v>
      </c>
      <c r="C35" s="72"/>
      <c r="D35" s="74">
        <v>2000.0</v>
      </c>
      <c r="E35" s="75"/>
      <c r="F35" s="74">
        <v>5000.0</v>
      </c>
      <c r="G35" s="77">
        <v>1780.0</v>
      </c>
      <c r="H35" s="78">
        <v>1780.0</v>
      </c>
      <c r="I35" s="79">
        <f>G35-H35</f>
        <v>0</v>
      </c>
      <c r="L35" s="101" t="s">
        <v>59</v>
      </c>
    </row>
    <row r="36" outlineLevel="1">
      <c r="B36" s="90" t="s">
        <v>60</v>
      </c>
      <c r="C36" s="91">
        <v>0.02</v>
      </c>
      <c r="D36" s="94">
        <f>G5 * C36</f>
        <v>1000</v>
      </c>
      <c r="E36" s="123">
        <v>0.02</v>
      </c>
      <c r="F36" s="140">
        <f>G5 * E36</f>
        <v>1000</v>
      </c>
      <c r="G36" s="156">
        <v>0.0</v>
      </c>
      <c r="H36" s="87">
        <v>0.0</v>
      </c>
      <c r="I36" s="157">
        <v>0.0</v>
      </c>
      <c r="L36" s="143"/>
    </row>
    <row r="37" outlineLevel="1">
      <c r="B37" s="90" t="s">
        <v>61</v>
      </c>
      <c r="C37" s="91">
        <v>0.01</v>
      </c>
      <c r="D37" s="85">
        <f>G5 * C37</f>
        <v>500</v>
      </c>
      <c r="E37" s="123">
        <v>0.02</v>
      </c>
      <c r="F37" s="140">
        <f>G5 * E37</f>
        <v>1000</v>
      </c>
      <c r="G37" s="156">
        <v>0.0</v>
      </c>
      <c r="H37" s="87">
        <v>0.0</v>
      </c>
      <c r="I37" s="157">
        <v>0.0</v>
      </c>
      <c r="L37" s="143"/>
    </row>
    <row r="38">
      <c r="B38" s="104" t="s">
        <v>62</v>
      </c>
      <c r="C38" s="107">
        <f>SUM(C39:C42)</f>
        <v>0.033</v>
      </c>
      <c r="D38" s="64">
        <f>G5 * C38</f>
        <v>1650</v>
      </c>
      <c r="E38" s="112">
        <f>SUM(E39:E42)</f>
        <v>0.0575</v>
      </c>
      <c r="F38" s="69">
        <f>G5 * E38</f>
        <v>2875</v>
      </c>
      <c r="G38" s="71">
        <f t="shared" ref="G38:H38" si="8">SUM(G39:G42)</f>
        <v>3030</v>
      </c>
      <c r="H38" s="88">
        <f t="shared" si="8"/>
        <v>3030</v>
      </c>
      <c r="I38" s="76">
        <f t="shared" ref="I38:I60" si="9">G38-H38</f>
        <v>0</v>
      </c>
      <c r="L38" s="143"/>
    </row>
    <row r="39" outlineLevel="1">
      <c r="B39" s="81" t="s">
        <v>63</v>
      </c>
      <c r="C39" s="82">
        <v>0.02</v>
      </c>
      <c r="D39" s="85">
        <f>G5 * C39</f>
        <v>1000</v>
      </c>
      <c r="E39" s="129">
        <v>0.03</v>
      </c>
      <c r="F39" s="130">
        <f>G5 * E39</f>
        <v>1500</v>
      </c>
      <c r="G39" s="86">
        <v>1900.0</v>
      </c>
      <c r="H39" s="141">
        <v>1900.0</v>
      </c>
      <c r="I39" s="121">
        <f t="shared" si="9"/>
        <v>0</v>
      </c>
      <c r="L39" s="143"/>
    </row>
    <row r="40" outlineLevel="1">
      <c r="B40" s="90" t="s">
        <v>64</v>
      </c>
      <c r="C40" s="91">
        <v>0.003</v>
      </c>
      <c r="D40" s="94">
        <f>G5 * C40</f>
        <v>150</v>
      </c>
      <c r="E40" s="123">
        <v>0.0075</v>
      </c>
      <c r="F40" s="124">
        <f>G5 * E40</f>
        <v>375</v>
      </c>
      <c r="G40" s="125">
        <v>300.0</v>
      </c>
      <c r="H40" s="158">
        <v>300.0</v>
      </c>
      <c r="I40" s="126">
        <f t="shared" si="9"/>
        <v>0</v>
      </c>
      <c r="L40" s="143"/>
    </row>
    <row r="41" outlineLevel="1">
      <c r="B41" s="90" t="s">
        <v>65</v>
      </c>
      <c r="C41" s="91">
        <v>0.005</v>
      </c>
      <c r="D41" s="94">
        <f>G5 * C41</f>
        <v>250</v>
      </c>
      <c r="E41" s="123">
        <v>0.01</v>
      </c>
      <c r="F41" s="124">
        <f>G5 * E41</f>
        <v>500</v>
      </c>
      <c r="G41" s="125">
        <v>830.0</v>
      </c>
      <c r="H41" s="158">
        <v>830.0</v>
      </c>
      <c r="I41" s="126">
        <f t="shared" si="9"/>
        <v>0</v>
      </c>
      <c r="L41" s="101" t="s">
        <v>66</v>
      </c>
    </row>
    <row r="42" outlineLevel="1">
      <c r="B42" s="90" t="s">
        <v>67</v>
      </c>
      <c r="C42" s="91">
        <v>0.005</v>
      </c>
      <c r="D42" s="94">
        <f>G5 * C42</f>
        <v>250</v>
      </c>
      <c r="E42" s="123">
        <v>0.01</v>
      </c>
      <c r="F42" s="94">
        <f>G5 * E42</f>
        <v>500</v>
      </c>
      <c r="G42" s="96">
        <v>0.0</v>
      </c>
      <c r="H42" s="158">
        <v>0.0</v>
      </c>
      <c r="I42" s="126">
        <f t="shared" si="9"/>
        <v>0</v>
      </c>
      <c r="L42" s="143"/>
    </row>
    <row r="43">
      <c r="B43" s="104" t="s">
        <v>68</v>
      </c>
      <c r="C43" s="107">
        <v>0.02</v>
      </c>
      <c r="D43" s="64">
        <f>G5 * C43</f>
        <v>1000</v>
      </c>
      <c r="E43" s="112">
        <f>SUM(E44:E47)</f>
        <v>0.025</v>
      </c>
      <c r="F43" s="69">
        <f>G5 * E43</f>
        <v>1250</v>
      </c>
      <c r="G43" s="71">
        <f t="shared" ref="G43:H43" si="10">SUM(G44:G47)</f>
        <v>566.74</v>
      </c>
      <c r="H43" s="88">
        <f t="shared" si="10"/>
        <v>566.64</v>
      </c>
      <c r="I43" s="76">
        <f t="shared" si="9"/>
        <v>0.1</v>
      </c>
      <c r="L43" s="143"/>
    </row>
    <row r="44" outlineLevel="1">
      <c r="B44" s="114" t="s">
        <v>69</v>
      </c>
      <c r="C44" s="115">
        <v>0.005</v>
      </c>
      <c r="D44" s="117">
        <f>G5 * C44</f>
        <v>250</v>
      </c>
      <c r="E44" s="118">
        <v>0.01</v>
      </c>
      <c r="F44" s="119">
        <f>G5 * E44</f>
        <v>500</v>
      </c>
      <c r="G44" s="86">
        <v>566.74</v>
      </c>
      <c r="H44" s="159">
        <v>566.64</v>
      </c>
      <c r="I44" s="121">
        <f t="shared" si="9"/>
        <v>0.1</v>
      </c>
      <c r="L44" s="143"/>
    </row>
    <row r="45" outlineLevel="1">
      <c r="B45" s="90" t="s">
        <v>70</v>
      </c>
      <c r="C45" s="91">
        <v>0.004</v>
      </c>
      <c r="D45" s="94">
        <f>G5 * C45</f>
        <v>200</v>
      </c>
      <c r="E45" s="123">
        <v>0.006</v>
      </c>
      <c r="F45" s="124">
        <f>G5 * E45</f>
        <v>300</v>
      </c>
      <c r="G45" s="125">
        <v>0.0</v>
      </c>
      <c r="H45" s="158">
        <v>0.0</v>
      </c>
      <c r="I45" s="126">
        <f t="shared" si="9"/>
        <v>0</v>
      </c>
      <c r="L45" s="143"/>
    </row>
    <row r="46" outlineLevel="1">
      <c r="B46" s="90" t="s">
        <v>71</v>
      </c>
      <c r="C46" s="91">
        <v>0.004</v>
      </c>
      <c r="D46" s="94">
        <f>G5 * C46</f>
        <v>200</v>
      </c>
      <c r="E46" s="123">
        <v>0.006</v>
      </c>
      <c r="F46" s="124">
        <f>G5 * E46</f>
        <v>300</v>
      </c>
      <c r="G46" s="125">
        <v>0.0</v>
      </c>
      <c r="H46" s="158">
        <v>0.0</v>
      </c>
      <c r="I46" s="126">
        <f t="shared" si="9"/>
        <v>0</v>
      </c>
      <c r="L46" s="143"/>
    </row>
    <row r="47" outlineLevel="1">
      <c r="B47" s="132" t="s">
        <v>72</v>
      </c>
      <c r="C47" s="133">
        <v>0.002</v>
      </c>
      <c r="D47" s="160">
        <f>G5 * C47</f>
        <v>100</v>
      </c>
      <c r="E47" s="135">
        <v>0.003</v>
      </c>
      <c r="F47" s="136">
        <f>G5 * E47</f>
        <v>150</v>
      </c>
      <c r="G47" s="137">
        <v>0.0</v>
      </c>
      <c r="H47" s="161">
        <v>0.0</v>
      </c>
      <c r="I47" s="126">
        <f t="shared" si="9"/>
        <v>0</v>
      </c>
      <c r="L47" s="143"/>
    </row>
    <row r="48">
      <c r="B48" s="104" t="s">
        <v>73</v>
      </c>
      <c r="C48" s="107">
        <f>SUM(C49:C52)</f>
        <v>0.02</v>
      </c>
      <c r="D48" s="64">
        <f>G5 * C48</f>
        <v>1000</v>
      </c>
      <c r="E48" s="112">
        <v>0.04</v>
      </c>
      <c r="F48" s="69">
        <f>G5 * E48</f>
        <v>2000</v>
      </c>
      <c r="G48" s="54">
        <f t="shared" ref="G48:H48" si="11">SUM(G49:G52)</f>
        <v>200</v>
      </c>
      <c r="H48" s="88">
        <f t="shared" si="11"/>
        <v>0</v>
      </c>
      <c r="I48" s="76">
        <f t="shared" si="9"/>
        <v>200</v>
      </c>
      <c r="L48" s="143"/>
    </row>
    <row r="49" outlineLevel="1">
      <c r="B49" s="114" t="s">
        <v>74</v>
      </c>
      <c r="C49" s="115">
        <v>0.005</v>
      </c>
      <c r="D49" s="117">
        <f>G5 *C49</f>
        <v>250</v>
      </c>
      <c r="E49" s="118">
        <v>0.01</v>
      </c>
      <c r="F49" s="119">
        <f>G5 * E49</f>
        <v>500</v>
      </c>
      <c r="G49" s="86">
        <v>200.0</v>
      </c>
      <c r="H49" s="159">
        <v>0.0</v>
      </c>
      <c r="I49" s="121">
        <f t="shared" si="9"/>
        <v>200</v>
      </c>
      <c r="L49" s="143"/>
    </row>
    <row r="50" outlineLevel="1">
      <c r="B50" s="90" t="s">
        <v>75</v>
      </c>
      <c r="C50" s="91">
        <v>0.005</v>
      </c>
      <c r="D50" s="94">
        <f>G5 *C50</f>
        <v>250</v>
      </c>
      <c r="E50" s="123">
        <v>0.01</v>
      </c>
      <c r="F50" s="124">
        <f>G5 * E50</f>
        <v>500</v>
      </c>
      <c r="G50" s="125">
        <v>0.0</v>
      </c>
      <c r="H50" s="158">
        <v>0.0</v>
      </c>
      <c r="I50" s="126">
        <f t="shared" si="9"/>
        <v>0</v>
      </c>
      <c r="L50" s="143"/>
    </row>
    <row r="51" outlineLevel="1">
      <c r="B51" s="90" t="s">
        <v>76</v>
      </c>
      <c r="C51" s="91">
        <v>0.005</v>
      </c>
      <c r="D51" s="94">
        <f>G5 *C51</f>
        <v>250</v>
      </c>
      <c r="E51" s="123">
        <v>0.01</v>
      </c>
      <c r="F51" s="124">
        <f>G5 * E51</f>
        <v>500</v>
      </c>
      <c r="G51" s="125">
        <v>0.0</v>
      </c>
      <c r="H51" s="158">
        <v>0.0</v>
      </c>
      <c r="I51" s="126">
        <f t="shared" si="9"/>
        <v>0</v>
      </c>
      <c r="L51" s="143"/>
    </row>
    <row r="52" outlineLevel="1">
      <c r="B52" s="90" t="s">
        <v>77</v>
      </c>
      <c r="C52" s="91">
        <v>0.005</v>
      </c>
      <c r="D52" s="94">
        <f>G5 *C52</f>
        <v>250</v>
      </c>
      <c r="E52" s="123">
        <v>0.01</v>
      </c>
      <c r="F52" s="124">
        <f>G5 * E52</f>
        <v>500</v>
      </c>
      <c r="G52" s="96">
        <v>0.0</v>
      </c>
      <c r="H52" s="158">
        <v>0.0</v>
      </c>
      <c r="I52" s="126">
        <f t="shared" si="9"/>
        <v>0</v>
      </c>
      <c r="L52" s="143"/>
    </row>
    <row r="53">
      <c r="B53" s="104" t="s">
        <v>30</v>
      </c>
      <c r="C53" s="107">
        <f>SUM(C54:C60)</f>
        <v>0.045</v>
      </c>
      <c r="D53" s="64">
        <f>G5 * C53</f>
        <v>2250</v>
      </c>
      <c r="E53" s="112">
        <f t="shared" ref="E53:H53" si="12">SUM(E54:E60)</f>
        <v>0.12</v>
      </c>
      <c r="F53" s="64">
        <f t="shared" si="12"/>
        <v>6050</v>
      </c>
      <c r="G53" s="71">
        <f t="shared" si="12"/>
        <v>4512</v>
      </c>
      <c r="H53" s="88">
        <f t="shared" si="12"/>
        <v>4512</v>
      </c>
      <c r="I53" s="76">
        <f t="shared" si="9"/>
        <v>0</v>
      </c>
      <c r="L53" s="143"/>
    </row>
    <row r="54" outlineLevel="1">
      <c r="B54" s="114" t="s">
        <v>78</v>
      </c>
      <c r="C54" s="162">
        <v>0.005</v>
      </c>
      <c r="D54" s="163">
        <f>G5 * C54</f>
        <v>250</v>
      </c>
      <c r="E54" s="118">
        <v>0.01</v>
      </c>
      <c r="F54" s="119">
        <f>G5 * E54</f>
        <v>500</v>
      </c>
      <c r="G54" s="86">
        <v>0.0</v>
      </c>
      <c r="H54" s="159">
        <v>0.0</v>
      </c>
      <c r="I54" s="121">
        <f t="shared" si="9"/>
        <v>0</v>
      </c>
      <c r="L54" s="143"/>
    </row>
    <row r="55" outlineLevel="1">
      <c r="B55" s="81" t="s">
        <v>79</v>
      </c>
      <c r="C55" s="82">
        <v>0.02</v>
      </c>
      <c r="D55" s="85">
        <f>G5 * C55</f>
        <v>1000</v>
      </c>
      <c r="E55" s="129">
        <v>0.06</v>
      </c>
      <c r="F55" s="85">
        <f>G5 * E55</f>
        <v>3000</v>
      </c>
      <c r="G55" s="125">
        <v>3945.0</v>
      </c>
      <c r="H55" s="141">
        <v>3945.0</v>
      </c>
      <c r="I55" s="126">
        <f t="shared" si="9"/>
        <v>0</v>
      </c>
      <c r="L55" s="143"/>
    </row>
    <row r="56" outlineLevel="1">
      <c r="B56" s="90" t="s">
        <v>80</v>
      </c>
      <c r="C56" s="91">
        <v>0.01</v>
      </c>
      <c r="D56" s="94">
        <f>G5 * C56</f>
        <v>500</v>
      </c>
      <c r="E56" s="123">
        <v>0.02</v>
      </c>
      <c r="F56" s="94">
        <f>G5 * E56</f>
        <v>1000</v>
      </c>
      <c r="G56" s="125">
        <v>0.0</v>
      </c>
      <c r="H56" s="158">
        <v>0.0</v>
      </c>
      <c r="I56" s="126">
        <f t="shared" si="9"/>
        <v>0</v>
      </c>
      <c r="L56" s="143"/>
    </row>
    <row r="57" outlineLevel="1">
      <c r="B57" s="90" t="s">
        <v>81</v>
      </c>
      <c r="C57" s="91">
        <v>0.0</v>
      </c>
      <c r="D57" s="122">
        <v>0.0</v>
      </c>
      <c r="E57" s="123">
        <v>0.01</v>
      </c>
      <c r="F57" s="124">
        <f>G5 * E57</f>
        <v>500</v>
      </c>
      <c r="G57" s="125">
        <v>0.0</v>
      </c>
      <c r="H57" s="158">
        <v>0.0</v>
      </c>
      <c r="I57" s="126">
        <f t="shared" si="9"/>
        <v>0</v>
      </c>
      <c r="L57" s="143"/>
    </row>
    <row r="58" outlineLevel="1">
      <c r="B58" s="149" t="s">
        <v>82</v>
      </c>
      <c r="C58" s="150">
        <v>0.0</v>
      </c>
      <c r="D58" s="164">
        <v>50.0</v>
      </c>
      <c r="E58" s="151" t="s">
        <v>83</v>
      </c>
      <c r="F58" s="164">
        <v>50.0</v>
      </c>
      <c r="G58" s="96">
        <v>0.0</v>
      </c>
      <c r="H58" s="165">
        <v>0.0</v>
      </c>
      <c r="I58" s="126">
        <f t="shared" si="9"/>
        <v>0</v>
      </c>
      <c r="L58" s="143"/>
    </row>
    <row r="59" outlineLevel="1">
      <c r="B59" s="90" t="s">
        <v>84</v>
      </c>
      <c r="C59" s="91">
        <v>0.0</v>
      </c>
      <c r="D59" s="122">
        <v>0.0</v>
      </c>
      <c r="E59" s="123" t="s">
        <v>83</v>
      </c>
      <c r="F59" s="122">
        <v>0.0</v>
      </c>
      <c r="G59" s="125">
        <v>0.0</v>
      </c>
      <c r="H59" s="158">
        <v>0.0</v>
      </c>
      <c r="I59" s="126">
        <f t="shared" si="9"/>
        <v>0</v>
      </c>
      <c r="L59" s="143"/>
    </row>
    <row r="60" outlineLevel="1">
      <c r="B60" s="149" t="s">
        <v>85</v>
      </c>
      <c r="C60" s="150">
        <v>0.01</v>
      </c>
      <c r="D60" s="164">
        <f>G5 * C60</f>
        <v>500</v>
      </c>
      <c r="E60" s="151">
        <v>0.02</v>
      </c>
      <c r="F60" s="164">
        <f>G5 * E60</f>
        <v>1000</v>
      </c>
      <c r="G60" s="125">
        <v>567.0</v>
      </c>
      <c r="H60" s="165">
        <v>567.0</v>
      </c>
      <c r="I60" s="126">
        <f t="shared" si="9"/>
        <v>0</v>
      </c>
      <c r="K60" s="2" t="s">
        <v>86</v>
      </c>
      <c r="L60" s="143"/>
    </row>
    <row r="61" ht="25.5" customHeight="1">
      <c r="A61" s="166"/>
      <c r="B61" s="167" t="s">
        <v>31</v>
      </c>
      <c r="C61" s="168">
        <f t="shared" ref="C61:I61" si="13">SUM(C9,C14,C24,C38,C43,C48,C53)</f>
        <v>0.718</v>
      </c>
      <c r="D61" s="100">
        <f t="shared" si="13"/>
        <v>35900</v>
      </c>
      <c r="E61" s="102">
        <f t="shared" si="13"/>
        <v>1.145</v>
      </c>
      <c r="F61" s="103">
        <f t="shared" si="13"/>
        <v>57300</v>
      </c>
      <c r="G61" s="105">
        <f t="shared" si="13"/>
        <v>67911.28</v>
      </c>
      <c r="H61" s="106">
        <f t="shared" si="13"/>
        <v>60343.27</v>
      </c>
      <c r="I61" s="108">
        <f t="shared" si="13"/>
        <v>7568.01</v>
      </c>
      <c r="J61" s="166"/>
      <c r="K61" s="166"/>
      <c r="L61" s="143"/>
      <c r="M61" s="166"/>
      <c r="N61" s="166"/>
      <c r="O61" s="166"/>
      <c r="P61" s="166"/>
      <c r="Q61" s="166"/>
      <c r="R61" s="166"/>
      <c r="S61" s="166"/>
      <c r="T61" s="166"/>
      <c r="U61" s="166"/>
      <c r="V61" s="166"/>
    </row>
    <row r="62">
      <c r="E62" s="28"/>
    </row>
    <row r="63">
      <c r="C63" s="109"/>
      <c r="D63" s="109"/>
      <c r="E63" s="28"/>
      <c r="G63" s="110" t="s">
        <v>33</v>
      </c>
      <c r="H63" s="111"/>
      <c r="I63" s="113">
        <f>F61-G61</f>
        <v>-10611.28</v>
      </c>
    </row>
    <row r="64">
      <c r="E64" s="28"/>
    </row>
    <row r="65">
      <c r="E65" s="28"/>
    </row>
    <row r="66">
      <c r="E66" s="28"/>
    </row>
    <row r="67">
      <c r="E67" s="28"/>
    </row>
    <row r="68">
      <c r="E68" s="28"/>
    </row>
    <row r="69">
      <c r="E69" s="28"/>
    </row>
    <row r="70">
      <c r="E70" s="28"/>
    </row>
    <row r="71">
      <c r="E71" s="28"/>
    </row>
    <row r="72">
      <c r="E72" s="28"/>
    </row>
    <row r="73">
      <c r="E73" s="28"/>
    </row>
    <row r="74">
      <c r="E74" s="28"/>
    </row>
    <row r="75">
      <c r="E75" s="28"/>
    </row>
    <row r="76">
      <c r="E76" s="28"/>
    </row>
    <row r="77">
      <c r="E77" s="28"/>
    </row>
    <row r="78">
      <c r="E78" s="28"/>
    </row>
    <row r="79">
      <c r="E79" s="28"/>
    </row>
    <row r="80">
      <c r="E80" s="28"/>
    </row>
    <row r="81">
      <c r="E81" s="28"/>
    </row>
    <row r="82">
      <c r="E82" s="28"/>
    </row>
    <row r="83">
      <c r="E83" s="28"/>
    </row>
    <row r="84">
      <c r="E84" s="28"/>
    </row>
    <row r="85">
      <c r="E85" s="28"/>
    </row>
    <row r="86">
      <c r="E86" s="28"/>
    </row>
    <row r="87">
      <c r="E87" s="28"/>
    </row>
    <row r="88">
      <c r="E88" s="28"/>
    </row>
    <row r="89">
      <c r="E89" s="28"/>
    </row>
    <row r="90">
      <c r="E90" s="28"/>
    </row>
    <row r="91">
      <c r="E91" s="28"/>
    </row>
    <row r="92">
      <c r="E92" s="28"/>
    </row>
    <row r="93">
      <c r="E93" s="28"/>
    </row>
    <row r="94">
      <c r="E94" s="28"/>
    </row>
    <row r="95">
      <c r="E95" s="28"/>
    </row>
    <row r="96">
      <c r="E96" s="28"/>
    </row>
    <row r="97">
      <c r="E97" s="28"/>
    </row>
    <row r="98">
      <c r="E98" s="28"/>
    </row>
    <row r="99">
      <c r="E99" s="28"/>
    </row>
    <row r="100">
      <c r="E100" s="28"/>
    </row>
    <row r="101">
      <c r="E101" s="28"/>
    </row>
    <row r="102">
      <c r="E102" s="28"/>
    </row>
    <row r="103">
      <c r="E103" s="28"/>
    </row>
    <row r="104">
      <c r="E104" s="28"/>
    </row>
    <row r="105">
      <c r="E105" s="28"/>
    </row>
    <row r="106">
      <c r="E106" s="28"/>
    </row>
    <row r="107">
      <c r="E107" s="28"/>
    </row>
    <row r="108">
      <c r="E108" s="28"/>
    </row>
    <row r="109">
      <c r="E109" s="28"/>
    </row>
    <row r="110">
      <c r="E110" s="28"/>
    </row>
    <row r="111">
      <c r="E111" s="28"/>
    </row>
    <row r="112">
      <c r="E112" s="28"/>
    </row>
    <row r="113">
      <c r="E113" s="28"/>
    </row>
    <row r="114">
      <c r="E114" s="28"/>
    </row>
    <row r="115">
      <c r="E115" s="28"/>
    </row>
    <row r="116">
      <c r="E116" s="28"/>
    </row>
    <row r="117">
      <c r="E117" s="28"/>
    </row>
    <row r="118">
      <c r="E118" s="28"/>
    </row>
    <row r="119">
      <c r="E119" s="28"/>
    </row>
    <row r="120">
      <c r="E120" s="28"/>
    </row>
    <row r="121">
      <c r="E121" s="28"/>
    </row>
    <row r="122">
      <c r="E122" s="28"/>
    </row>
    <row r="123">
      <c r="E123" s="28"/>
    </row>
    <row r="124">
      <c r="E124" s="28"/>
    </row>
    <row r="125">
      <c r="E125" s="28"/>
    </row>
    <row r="126">
      <c r="E126" s="28"/>
    </row>
    <row r="127">
      <c r="E127" s="28"/>
    </row>
    <row r="128">
      <c r="E128" s="28"/>
    </row>
    <row r="129">
      <c r="E129" s="28"/>
    </row>
    <row r="130">
      <c r="E130" s="28"/>
    </row>
    <row r="131">
      <c r="E131" s="28"/>
    </row>
    <row r="132">
      <c r="E132" s="28"/>
    </row>
    <row r="133">
      <c r="E133" s="28"/>
    </row>
    <row r="134">
      <c r="E134" s="28"/>
    </row>
    <row r="135">
      <c r="E135" s="28"/>
    </row>
    <row r="136">
      <c r="E136" s="28"/>
    </row>
    <row r="137">
      <c r="E137" s="28"/>
    </row>
    <row r="138">
      <c r="E138" s="28"/>
    </row>
    <row r="139">
      <c r="E139" s="28"/>
    </row>
    <row r="140">
      <c r="E140" s="28"/>
    </row>
    <row r="141">
      <c r="E141" s="28"/>
    </row>
    <row r="142">
      <c r="E142" s="28"/>
    </row>
    <row r="143">
      <c r="E143" s="28"/>
    </row>
    <row r="144">
      <c r="E144" s="28"/>
    </row>
    <row r="145">
      <c r="E145" s="28"/>
    </row>
    <row r="146">
      <c r="E146" s="28"/>
    </row>
    <row r="147">
      <c r="E147" s="28"/>
    </row>
    <row r="148">
      <c r="E148" s="28"/>
    </row>
    <row r="149">
      <c r="E149" s="28"/>
    </row>
    <row r="150">
      <c r="E150" s="28"/>
    </row>
    <row r="151">
      <c r="E151" s="28"/>
    </row>
    <row r="152">
      <c r="E152" s="28"/>
    </row>
    <row r="153">
      <c r="E153" s="28"/>
    </row>
    <row r="154">
      <c r="E154" s="28"/>
    </row>
    <row r="155">
      <c r="E155" s="28"/>
    </row>
    <row r="156">
      <c r="E156" s="28"/>
    </row>
    <row r="157">
      <c r="E157" s="28"/>
    </row>
    <row r="158">
      <c r="E158" s="28"/>
    </row>
    <row r="159">
      <c r="E159" s="28"/>
    </row>
    <row r="160">
      <c r="E160" s="28"/>
    </row>
    <row r="161">
      <c r="E161" s="28"/>
    </row>
    <row r="162">
      <c r="E162" s="28"/>
    </row>
    <row r="163">
      <c r="E163" s="28"/>
    </row>
    <row r="164">
      <c r="E164" s="28"/>
    </row>
    <row r="165">
      <c r="E165" s="28"/>
    </row>
    <row r="166">
      <c r="E166" s="28"/>
    </row>
    <row r="167">
      <c r="E167" s="28"/>
    </row>
    <row r="168">
      <c r="E168" s="28"/>
    </row>
    <row r="169">
      <c r="E169" s="28"/>
    </row>
    <row r="170">
      <c r="E170" s="28"/>
    </row>
    <row r="171">
      <c r="E171" s="28"/>
    </row>
    <row r="172">
      <c r="E172" s="28"/>
    </row>
    <row r="173">
      <c r="E173" s="28"/>
    </row>
    <row r="174">
      <c r="E174" s="28"/>
    </row>
    <row r="175">
      <c r="E175" s="28"/>
    </row>
    <row r="176">
      <c r="E176" s="28"/>
    </row>
    <row r="177">
      <c r="E177" s="28"/>
    </row>
    <row r="178">
      <c r="E178" s="28"/>
    </row>
    <row r="179">
      <c r="E179" s="28"/>
    </row>
    <row r="180">
      <c r="E180" s="28"/>
    </row>
    <row r="181">
      <c r="E181" s="28"/>
    </row>
    <row r="182">
      <c r="E182" s="28"/>
    </row>
    <row r="183">
      <c r="E183" s="28"/>
    </row>
    <row r="184">
      <c r="E184" s="28"/>
    </row>
    <row r="185">
      <c r="E185" s="28"/>
    </row>
    <row r="186">
      <c r="E186" s="28"/>
    </row>
    <row r="187">
      <c r="E187" s="28"/>
    </row>
    <row r="188">
      <c r="E188" s="28"/>
    </row>
    <row r="189">
      <c r="E189" s="28"/>
    </row>
    <row r="190">
      <c r="E190" s="28"/>
    </row>
    <row r="191">
      <c r="E191" s="28"/>
    </row>
    <row r="192">
      <c r="E192" s="28"/>
    </row>
    <row r="193">
      <c r="E193" s="28"/>
    </row>
    <row r="194">
      <c r="E194" s="28"/>
    </row>
    <row r="195">
      <c r="E195" s="28"/>
    </row>
    <row r="196">
      <c r="E196" s="28"/>
    </row>
    <row r="197">
      <c r="E197" s="28"/>
    </row>
    <row r="198">
      <c r="E198" s="28"/>
    </row>
    <row r="199">
      <c r="E199" s="28"/>
    </row>
    <row r="200">
      <c r="E200" s="28"/>
    </row>
    <row r="201">
      <c r="E201" s="28"/>
    </row>
    <row r="202">
      <c r="E202" s="28"/>
    </row>
    <row r="203">
      <c r="E203" s="28"/>
    </row>
    <row r="204">
      <c r="E204" s="28"/>
    </row>
    <row r="205">
      <c r="E205" s="28"/>
    </row>
    <row r="206">
      <c r="E206" s="28"/>
    </row>
    <row r="207">
      <c r="E207" s="28"/>
    </row>
    <row r="208">
      <c r="E208" s="28"/>
    </row>
    <row r="209">
      <c r="E209" s="28"/>
    </row>
    <row r="210">
      <c r="E210" s="28"/>
    </row>
    <row r="211">
      <c r="E211" s="28"/>
    </row>
    <row r="212">
      <c r="E212" s="28"/>
    </row>
    <row r="213">
      <c r="E213" s="28"/>
    </row>
    <row r="214">
      <c r="E214" s="28"/>
    </row>
    <row r="215">
      <c r="E215" s="28"/>
    </row>
    <row r="216">
      <c r="E216" s="28"/>
    </row>
    <row r="217">
      <c r="E217" s="28"/>
    </row>
    <row r="218">
      <c r="E218" s="28"/>
    </row>
    <row r="219">
      <c r="E219" s="28"/>
    </row>
    <row r="220">
      <c r="E220" s="28"/>
    </row>
    <row r="221">
      <c r="E221" s="28"/>
    </row>
    <row r="222">
      <c r="E222" s="28"/>
    </row>
    <row r="223">
      <c r="E223" s="28"/>
    </row>
    <row r="224">
      <c r="E224" s="28"/>
    </row>
    <row r="225">
      <c r="E225" s="28"/>
    </row>
    <row r="226">
      <c r="E226" s="28"/>
    </row>
    <row r="227">
      <c r="E227" s="28"/>
    </row>
    <row r="228">
      <c r="E228" s="28"/>
    </row>
    <row r="229">
      <c r="E229" s="28"/>
    </row>
    <row r="230">
      <c r="E230" s="28"/>
    </row>
    <row r="231">
      <c r="E231" s="28"/>
    </row>
    <row r="232">
      <c r="E232" s="28"/>
    </row>
    <row r="233">
      <c r="E233" s="28"/>
    </row>
    <row r="234">
      <c r="E234" s="28"/>
    </row>
    <row r="235">
      <c r="E235" s="28"/>
    </row>
    <row r="236">
      <c r="E236" s="28"/>
    </row>
    <row r="237">
      <c r="E237" s="28"/>
    </row>
    <row r="238">
      <c r="E238" s="28"/>
    </row>
    <row r="239">
      <c r="E239" s="28"/>
    </row>
    <row r="240">
      <c r="E240" s="28"/>
    </row>
    <row r="241">
      <c r="E241" s="28"/>
    </row>
    <row r="242">
      <c r="E242" s="28"/>
    </row>
    <row r="243">
      <c r="E243" s="28"/>
    </row>
    <row r="244">
      <c r="E244" s="28"/>
    </row>
    <row r="245">
      <c r="E245" s="28"/>
    </row>
    <row r="246">
      <c r="E246" s="28"/>
    </row>
    <row r="247">
      <c r="E247" s="28"/>
    </row>
    <row r="248">
      <c r="E248" s="28"/>
    </row>
    <row r="249">
      <c r="E249" s="28"/>
    </row>
    <row r="250">
      <c r="E250" s="28"/>
    </row>
    <row r="251">
      <c r="E251" s="28"/>
    </row>
    <row r="252">
      <c r="E252" s="28"/>
    </row>
    <row r="253">
      <c r="E253" s="28"/>
    </row>
    <row r="254">
      <c r="E254" s="28"/>
    </row>
    <row r="255">
      <c r="E255" s="28"/>
    </row>
    <row r="256">
      <c r="E256" s="28"/>
    </row>
    <row r="257">
      <c r="E257" s="28"/>
    </row>
    <row r="258">
      <c r="E258" s="28"/>
    </row>
    <row r="259">
      <c r="E259" s="28"/>
    </row>
    <row r="260">
      <c r="E260" s="28"/>
    </row>
    <row r="261">
      <c r="E261" s="28"/>
    </row>
    <row r="262">
      <c r="E262" s="28"/>
    </row>
    <row r="263">
      <c r="E263" s="28"/>
    </row>
    <row r="264">
      <c r="E264" s="28"/>
    </row>
    <row r="265">
      <c r="E265" s="28"/>
    </row>
    <row r="266">
      <c r="E266" s="28"/>
    </row>
    <row r="267">
      <c r="E267" s="28"/>
    </row>
    <row r="268">
      <c r="E268" s="28"/>
    </row>
    <row r="269">
      <c r="E269" s="28"/>
    </row>
    <row r="270">
      <c r="E270" s="28"/>
    </row>
    <row r="271">
      <c r="E271" s="28"/>
    </row>
    <row r="272">
      <c r="E272" s="28"/>
    </row>
    <row r="273">
      <c r="E273" s="28"/>
    </row>
    <row r="274">
      <c r="E274" s="28"/>
    </row>
    <row r="275">
      <c r="E275" s="28"/>
    </row>
    <row r="276">
      <c r="E276" s="28"/>
    </row>
    <row r="277">
      <c r="E277" s="28"/>
    </row>
    <row r="278">
      <c r="E278" s="28"/>
    </row>
    <row r="279">
      <c r="E279" s="28"/>
    </row>
    <row r="280">
      <c r="E280" s="28"/>
    </row>
    <row r="281">
      <c r="E281" s="28"/>
    </row>
    <row r="282">
      <c r="E282" s="28"/>
    </row>
    <row r="283">
      <c r="E283" s="28"/>
    </row>
    <row r="284">
      <c r="E284" s="28"/>
    </row>
    <row r="285">
      <c r="E285" s="28"/>
    </row>
    <row r="286">
      <c r="E286" s="28"/>
    </row>
    <row r="287">
      <c r="E287" s="28"/>
    </row>
    <row r="288">
      <c r="E288" s="28"/>
    </row>
    <row r="289">
      <c r="E289" s="28"/>
    </row>
    <row r="290">
      <c r="E290" s="28"/>
    </row>
    <row r="291">
      <c r="E291" s="28"/>
    </row>
    <row r="292">
      <c r="E292" s="28"/>
    </row>
    <row r="293">
      <c r="E293" s="28"/>
    </row>
    <row r="294">
      <c r="E294" s="28"/>
    </row>
    <row r="295">
      <c r="E295" s="28"/>
    </row>
    <row r="296">
      <c r="E296" s="28"/>
    </row>
    <row r="297">
      <c r="E297" s="28"/>
    </row>
    <row r="298">
      <c r="E298" s="28"/>
    </row>
    <row r="299">
      <c r="E299" s="28"/>
    </row>
    <row r="300">
      <c r="E300" s="28"/>
    </row>
    <row r="301">
      <c r="E301" s="28"/>
    </row>
    <row r="302">
      <c r="E302" s="28"/>
    </row>
    <row r="303">
      <c r="E303" s="28"/>
    </row>
    <row r="304">
      <c r="E304" s="28"/>
    </row>
    <row r="305">
      <c r="E305" s="28"/>
    </row>
    <row r="306">
      <c r="E306" s="28"/>
    </row>
    <row r="307">
      <c r="E307" s="28"/>
    </row>
    <row r="308">
      <c r="E308" s="28"/>
    </row>
    <row r="309">
      <c r="E309" s="28"/>
    </row>
    <row r="310">
      <c r="E310" s="28"/>
    </row>
    <row r="311">
      <c r="E311" s="28"/>
    </row>
    <row r="312">
      <c r="E312" s="28"/>
    </row>
    <row r="313">
      <c r="E313" s="28"/>
    </row>
    <row r="314">
      <c r="E314" s="28"/>
    </row>
    <row r="315">
      <c r="E315" s="28"/>
    </row>
    <row r="316">
      <c r="E316" s="28"/>
    </row>
    <row r="317">
      <c r="E317" s="28"/>
    </row>
    <row r="318">
      <c r="E318" s="28"/>
    </row>
    <row r="319">
      <c r="E319" s="28"/>
    </row>
    <row r="320">
      <c r="E320" s="28"/>
    </row>
    <row r="321">
      <c r="E321" s="28"/>
    </row>
    <row r="322">
      <c r="E322" s="28"/>
    </row>
    <row r="323">
      <c r="E323" s="28"/>
    </row>
    <row r="324">
      <c r="E324" s="28"/>
    </row>
    <row r="325">
      <c r="E325" s="28"/>
    </row>
    <row r="326">
      <c r="E326" s="28"/>
    </row>
    <row r="327">
      <c r="E327" s="28"/>
    </row>
    <row r="328">
      <c r="E328" s="28"/>
    </row>
    <row r="329">
      <c r="E329" s="28"/>
    </row>
    <row r="330">
      <c r="E330" s="28"/>
    </row>
    <row r="331">
      <c r="E331" s="28"/>
    </row>
    <row r="332">
      <c r="E332" s="28"/>
    </row>
    <row r="333">
      <c r="E333" s="28"/>
    </row>
    <row r="334">
      <c r="E334" s="28"/>
    </row>
    <row r="335">
      <c r="E335" s="28"/>
    </row>
    <row r="336">
      <c r="E336" s="28"/>
    </row>
    <row r="337">
      <c r="E337" s="28"/>
    </row>
    <row r="338">
      <c r="E338" s="28"/>
    </row>
    <row r="339">
      <c r="E339" s="28"/>
    </row>
    <row r="340">
      <c r="E340" s="28"/>
    </row>
    <row r="341">
      <c r="E341" s="28"/>
    </row>
    <row r="342">
      <c r="E342" s="28"/>
    </row>
    <row r="343">
      <c r="E343" s="28"/>
    </row>
    <row r="344">
      <c r="E344" s="28"/>
    </row>
    <row r="345">
      <c r="E345" s="28"/>
    </row>
    <row r="346">
      <c r="E346" s="28"/>
    </row>
    <row r="347">
      <c r="E347" s="28"/>
    </row>
    <row r="348">
      <c r="E348" s="28"/>
    </row>
    <row r="349">
      <c r="E349" s="28"/>
    </row>
    <row r="350">
      <c r="E350" s="28"/>
    </row>
    <row r="351">
      <c r="E351" s="28"/>
    </row>
    <row r="352">
      <c r="E352" s="28"/>
    </row>
    <row r="353">
      <c r="E353" s="28"/>
    </row>
    <row r="354">
      <c r="E354" s="28"/>
    </row>
    <row r="355">
      <c r="E355" s="28"/>
    </row>
    <row r="356">
      <c r="E356" s="28"/>
    </row>
    <row r="357">
      <c r="E357" s="28"/>
    </row>
    <row r="358">
      <c r="E358" s="28"/>
    </row>
    <row r="359">
      <c r="E359" s="28"/>
    </row>
    <row r="360">
      <c r="E360" s="28"/>
    </row>
    <row r="361">
      <c r="E361" s="28"/>
    </row>
    <row r="362">
      <c r="E362" s="28"/>
    </row>
    <row r="363">
      <c r="E363" s="28"/>
    </row>
    <row r="364">
      <c r="E364" s="28"/>
    </row>
    <row r="365">
      <c r="E365" s="28"/>
    </row>
    <row r="366">
      <c r="E366" s="28"/>
    </row>
    <row r="367">
      <c r="E367" s="28"/>
    </row>
    <row r="368">
      <c r="E368" s="28"/>
    </row>
    <row r="369">
      <c r="E369" s="28"/>
    </row>
    <row r="370">
      <c r="E370" s="28"/>
    </row>
    <row r="371">
      <c r="E371" s="28"/>
    </row>
    <row r="372">
      <c r="E372" s="28"/>
    </row>
    <row r="373">
      <c r="E373" s="28"/>
    </row>
    <row r="374">
      <c r="E374" s="28"/>
    </row>
    <row r="375">
      <c r="E375" s="28"/>
    </row>
    <row r="376">
      <c r="E376" s="28"/>
    </row>
    <row r="377">
      <c r="E377" s="28"/>
    </row>
    <row r="378">
      <c r="E378" s="28"/>
    </row>
    <row r="379">
      <c r="E379" s="28"/>
    </row>
    <row r="380">
      <c r="E380" s="28"/>
    </row>
    <row r="381">
      <c r="E381" s="28"/>
    </row>
    <row r="382">
      <c r="E382" s="28"/>
    </row>
    <row r="383">
      <c r="E383" s="28"/>
    </row>
    <row r="384">
      <c r="E384" s="28"/>
    </row>
    <row r="385">
      <c r="E385" s="28"/>
    </row>
    <row r="386">
      <c r="E386" s="28"/>
    </row>
    <row r="387">
      <c r="E387" s="28"/>
    </row>
    <row r="388">
      <c r="E388" s="28"/>
    </row>
    <row r="389">
      <c r="E389" s="28"/>
    </row>
    <row r="390">
      <c r="E390" s="28"/>
    </row>
    <row r="391">
      <c r="E391" s="28"/>
    </row>
    <row r="392">
      <c r="E392" s="28"/>
    </row>
    <row r="393">
      <c r="E393" s="28"/>
    </row>
    <row r="394">
      <c r="E394" s="28"/>
    </row>
    <row r="395">
      <c r="E395" s="28"/>
    </row>
    <row r="396">
      <c r="E396" s="28"/>
    </row>
    <row r="397">
      <c r="E397" s="28"/>
    </row>
    <row r="398">
      <c r="E398" s="28"/>
    </row>
    <row r="399">
      <c r="E399" s="28"/>
    </row>
    <row r="400">
      <c r="E400" s="28"/>
    </row>
    <row r="401">
      <c r="E401" s="28"/>
    </row>
    <row r="402">
      <c r="E402" s="28"/>
    </row>
    <row r="403">
      <c r="E403" s="28"/>
    </row>
    <row r="404">
      <c r="E404" s="28"/>
    </row>
    <row r="405">
      <c r="E405" s="28"/>
    </row>
    <row r="406">
      <c r="E406" s="28"/>
    </row>
    <row r="407">
      <c r="E407" s="28"/>
    </row>
    <row r="408">
      <c r="E408" s="28"/>
    </row>
    <row r="409">
      <c r="E409" s="28"/>
    </row>
    <row r="410">
      <c r="E410" s="28"/>
    </row>
    <row r="411">
      <c r="E411" s="28"/>
    </row>
    <row r="412">
      <c r="E412" s="28"/>
    </row>
    <row r="413">
      <c r="E413" s="28"/>
    </row>
    <row r="414">
      <c r="E414" s="28"/>
    </row>
    <row r="415">
      <c r="E415" s="28"/>
    </row>
    <row r="416">
      <c r="E416" s="28"/>
    </row>
    <row r="417">
      <c r="E417" s="28"/>
    </row>
    <row r="418">
      <c r="E418" s="28"/>
    </row>
    <row r="419">
      <c r="E419" s="28"/>
    </row>
    <row r="420">
      <c r="E420" s="28"/>
    </row>
    <row r="421">
      <c r="E421" s="28"/>
    </row>
    <row r="422">
      <c r="E422" s="28"/>
    </row>
    <row r="423">
      <c r="E423" s="28"/>
    </row>
    <row r="424">
      <c r="E424" s="28"/>
    </row>
    <row r="425">
      <c r="E425" s="28"/>
    </row>
    <row r="426">
      <c r="E426" s="28"/>
    </row>
    <row r="427">
      <c r="E427" s="28"/>
    </row>
    <row r="428">
      <c r="E428" s="28"/>
    </row>
    <row r="429">
      <c r="E429" s="28"/>
    </row>
    <row r="430">
      <c r="E430" s="28"/>
    </row>
    <row r="431">
      <c r="E431" s="28"/>
    </row>
    <row r="432">
      <c r="E432" s="28"/>
    </row>
    <row r="433">
      <c r="E433" s="28"/>
    </row>
    <row r="434">
      <c r="E434" s="28"/>
    </row>
    <row r="435">
      <c r="E435" s="28"/>
    </row>
    <row r="436">
      <c r="E436" s="28"/>
    </row>
    <row r="437">
      <c r="E437" s="28"/>
    </row>
    <row r="438">
      <c r="E438" s="28"/>
    </row>
    <row r="439">
      <c r="E439" s="28"/>
    </row>
    <row r="440">
      <c r="E440" s="28"/>
    </row>
    <row r="441">
      <c r="E441" s="28"/>
    </row>
    <row r="442">
      <c r="E442" s="28"/>
    </row>
    <row r="443">
      <c r="E443" s="28"/>
    </row>
    <row r="444">
      <c r="E444" s="28"/>
    </row>
    <row r="445">
      <c r="E445" s="28"/>
    </row>
    <row r="446">
      <c r="E446" s="28"/>
    </row>
    <row r="447">
      <c r="E447" s="28"/>
    </row>
    <row r="448">
      <c r="E448" s="28"/>
    </row>
    <row r="449">
      <c r="E449" s="28"/>
    </row>
    <row r="450">
      <c r="E450" s="28"/>
    </row>
    <row r="451">
      <c r="E451" s="28"/>
    </row>
    <row r="452">
      <c r="E452" s="28"/>
    </row>
    <row r="453">
      <c r="E453" s="28"/>
    </row>
    <row r="454">
      <c r="E454" s="28"/>
    </row>
    <row r="455">
      <c r="E455" s="28"/>
    </row>
    <row r="456">
      <c r="E456" s="28"/>
    </row>
    <row r="457">
      <c r="E457" s="28"/>
    </row>
    <row r="458">
      <c r="E458" s="28"/>
    </row>
    <row r="459">
      <c r="E459" s="28"/>
    </row>
    <row r="460">
      <c r="E460" s="28"/>
    </row>
    <row r="461">
      <c r="E461" s="28"/>
    </row>
    <row r="462">
      <c r="E462" s="28"/>
    </row>
    <row r="463">
      <c r="E463" s="28"/>
    </row>
    <row r="464">
      <c r="E464" s="28"/>
    </row>
    <row r="465">
      <c r="E465" s="28"/>
    </row>
    <row r="466">
      <c r="E466" s="28"/>
    </row>
    <row r="467">
      <c r="E467" s="28"/>
    </row>
    <row r="468">
      <c r="E468" s="28"/>
    </row>
    <row r="469">
      <c r="E469" s="28"/>
    </row>
    <row r="470">
      <c r="E470" s="28"/>
    </row>
    <row r="471">
      <c r="E471" s="28"/>
    </row>
    <row r="472">
      <c r="E472" s="28"/>
    </row>
    <row r="473">
      <c r="E473" s="28"/>
    </row>
    <row r="474">
      <c r="E474" s="28"/>
    </row>
    <row r="475">
      <c r="E475" s="28"/>
    </row>
    <row r="476">
      <c r="E476" s="28"/>
    </row>
    <row r="477">
      <c r="E477" s="28"/>
    </row>
    <row r="478">
      <c r="E478" s="28"/>
    </row>
    <row r="479">
      <c r="E479" s="28"/>
    </row>
    <row r="480">
      <c r="E480" s="28"/>
    </row>
    <row r="481">
      <c r="E481" s="28"/>
    </row>
    <row r="482">
      <c r="E482" s="28"/>
    </row>
    <row r="483">
      <c r="E483" s="28"/>
    </row>
    <row r="484">
      <c r="E484" s="28"/>
    </row>
    <row r="485">
      <c r="E485" s="28"/>
    </row>
    <row r="486">
      <c r="E486" s="28"/>
    </row>
    <row r="487">
      <c r="E487" s="28"/>
    </row>
    <row r="488">
      <c r="E488" s="28"/>
    </row>
    <row r="489">
      <c r="E489" s="28"/>
    </row>
    <row r="490">
      <c r="E490" s="28"/>
    </row>
    <row r="491">
      <c r="E491" s="28"/>
    </row>
    <row r="492">
      <c r="E492" s="28"/>
    </row>
    <row r="493">
      <c r="E493" s="28"/>
    </row>
    <row r="494">
      <c r="E494" s="28"/>
    </row>
    <row r="495">
      <c r="E495" s="28"/>
    </row>
    <row r="496">
      <c r="E496" s="28"/>
    </row>
    <row r="497">
      <c r="E497" s="28"/>
    </row>
    <row r="498">
      <c r="E498" s="28"/>
    </row>
    <row r="499">
      <c r="E499" s="28"/>
    </row>
    <row r="500">
      <c r="E500" s="28"/>
    </row>
    <row r="501">
      <c r="E501" s="28"/>
    </row>
    <row r="502">
      <c r="E502" s="28"/>
    </row>
    <row r="503">
      <c r="E503" s="28"/>
    </row>
    <row r="504">
      <c r="E504" s="28"/>
    </row>
    <row r="505">
      <c r="E505" s="28"/>
    </row>
    <row r="506">
      <c r="E506" s="28"/>
    </row>
    <row r="507">
      <c r="E507" s="28"/>
    </row>
    <row r="508">
      <c r="E508" s="28"/>
    </row>
    <row r="509">
      <c r="E509" s="28"/>
    </row>
    <row r="510">
      <c r="E510" s="28"/>
    </row>
    <row r="511">
      <c r="E511" s="28"/>
    </row>
    <row r="512">
      <c r="E512" s="28"/>
    </row>
    <row r="513">
      <c r="E513" s="28"/>
    </row>
    <row r="514">
      <c r="E514" s="28"/>
    </row>
    <row r="515">
      <c r="E515" s="28"/>
    </row>
    <row r="516">
      <c r="E516" s="28"/>
    </row>
    <row r="517">
      <c r="E517" s="28"/>
    </row>
    <row r="518">
      <c r="E518" s="28"/>
    </row>
    <row r="519">
      <c r="E519" s="28"/>
    </row>
    <row r="520">
      <c r="E520" s="28"/>
    </row>
    <row r="521">
      <c r="E521" s="28"/>
    </row>
    <row r="522">
      <c r="E522" s="28"/>
    </row>
    <row r="523">
      <c r="E523" s="28"/>
    </row>
    <row r="524">
      <c r="E524" s="28"/>
    </row>
    <row r="525">
      <c r="E525" s="28"/>
    </row>
    <row r="526">
      <c r="E526" s="28"/>
    </row>
    <row r="527">
      <c r="E527" s="28"/>
    </row>
    <row r="528">
      <c r="E528" s="28"/>
    </row>
    <row r="529">
      <c r="E529" s="28"/>
    </row>
    <row r="530">
      <c r="E530" s="28"/>
    </row>
    <row r="531">
      <c r="E531" s="28"/>
    </row>
    <row r="532">
      <c r="E532" s="28"/>
    </row>
    <row r="533">
      <c r="E533" s="28"/>
    </row>
    <row r="534">
      <c r="E534" s="28"/>
    </row>
    <row r="535">
      <c r="E535" s="28"/>
    </row>
    <row r="536">
      <c r="E536" s="28"/>
    </row>
    <row r="537">
      <c r="E537" s="28"/>
    </row>
    <row r="538">
      <c r="E538" s="28"/>
    </row>
    <row r="539">
      <c r="E539" s="28"/>
    </row>
    <row r="540">
      <c r="E540" s="28"/>
    </row>
    <row r="541">
      <c r="E541" s="28"/>
    </row>
    <row r="542">
      <c r="E542" s="28"/>
    </row>
    <row r="543">
      <c r="E543" s="28"/>
    </row>
    <row r="544">
      <c r="E544" s="28"/>
    </row>
    <row r="545">
      <c r="E545" s="28"/>
    </row>
    <row r="546">
      <c r="E546" s="28"/>
    </row>
    <row r="547">
      <c r="E547" s="28"/>
    </row>
    <row r="548">
      <c r="E548" s="28"/>
    </row>
    <row r="549">
      <c r="E549" s="28"/>
    </row>
    <row r="550">
      <c r="E550" s="28"/>
    </row>
    <row r="551">
      <c r="E551" s="28"/>
    </row>
    <row r="552">
      <c r="E552" s="28"/>
    </row>
    <row r="553">
      <c r="E553" s="28"/>
    </row>
    <row r="554">
      <c r="E554" s="28"/>
    </row>
    <row r="555">
      <c r="E555" s="28"/>
    </row>
    <row r="556">
      <c r="E556" s="28"/>
    </row>
    <row r="557">
      <c r="E557" s="28"/>
    </row>
    <row r="558">
      <c r="E558" s="28"/>
    </row>
    <row r="559">
      <c r="E559" s="28"/>
    </row>
    <row r="560">
      <c r="E560" s="28"/>
    </row>
    <row r="561">
      <c r="E561" s="28"/>
    </row>
    <row r="562">
      <c r="E562" s="28"/>
    </row>
    <row r="563">
      <c r="E563" s="28"/>
    </row>
    <row r="564">
      <c r="E564" s="28"/>
    </row>
    <row r="565">
      <c r="E565" s="28"/>
    </row>
    <row r="566">
      <c r="E566" s="28"/>
    </row>
    <row r="567">
      <c r="E567" s="28"/>
    </row>
    <row r="568">
      <c r="E568" s="28"/>
    </row>
    <row r="569">
      <c r="E569" s="28"/>
    </row>
    <row r="570">
      <c r="E570" s="28"/>
    </row>
    <row r="571">
      <c r="E571" s="28"/>
    </row>
    <row r="572">
      <c r="E572" s="28"/>
    </row>
    <row r="573">
      <c r="E573" s="28"/>
    </row>
    <row r="574">
      <c r="E574" s="28"/>
    </row>
    <row r="575">
      <c r="E575" s="28"/>
    </row>
    <row r="576">
      <c r="E576" s="28"/>
    </row>
    <row r="577">
      <c r="E577" s="28"/>
    </row>
    <row r="578">
      <c r="E578" s="28"/>
    </row>
    <row r="579">
      <c r="E579" s="28"/>
    </row>
    <row r="580">
      <c r="E580" s="28"/>
    </row>
    <row r="581">
      <c r="E581" s="28"/>
    </row>
    <row r="582">
      <c r="E582" s="28"/>
    </row>
    <row r="583">
      <c r="E583" s="28"/>
    </row>
    <row r="584">
      <c r="E584" s="28"/>
    </row>
    <row r="585">
      <c r="E585" s="28"/>
    </row>
    <row r="586">
      <c r="E586" s="28"/>
    </row>
    <row r="587">
      <c r="E587" s="28"/>
    </row>
    <row r="588">
      <c r="E588" s="28"/>
    </row>
    <row r="589">
      <c r="E589" s="28"/>
    </row>
    <row r="590">
      <c r="E590" s="28"/>
    </row>
    <row r="591">
      <c r="E591" s="28"/>
    </row>
    <row r="592">
      <c r="E592" s="28"/>
    </row>
    <row r="593">
      <c r="E593" s="28"/>
    </row>
    <row r="594">
      <c r="E594" s="28"/>
    </row>
    <row r="595">
      <c r="E595" s="28"/>
    </row>
    <row r="596">
      <c r="E596" s="28"/>
    </row>
    <row r="597">
      <c r="E597" s="28"/>
    </row>
    <row r="598">
      <c r="E598" s="28"/>
    </row>
    <row r="599">
      <c r="E599" s="28"/>
    </row>
    <row r="600">
      <c r="E600" s="28"/>
    </row>
    <row r="601">
      <c r="E601" s="28"/>
    </row>
    <row r="602">
      <c r="E602" s="28"/>
    </row>
    <row r="603">
      <c r="E603" s="28"/>
    </row>
    <row r="604">
      <c r="E604" s="28"/>
    </row>
    <row r="605">
      <c r="E605" s="28"/>
    </row>
    <row r="606">
      <c r="E606" s="28"/>
    </row>
    <row r="607">
      <c r="E607" s="28"/>
    </row>
    <row r="608">
      <c r="E608" s="28"/>
    </row>
    <row r="609">
      <c r="E609" s="28"/>
    </row>
    <row r="610">
      <c r="E610" s="28"/>
    </row>
    <row r="611">
      <c r="E611" s="28"/>
    </row>
    <row r="612">
      <c r="E612" s="28"/>
    </row>
    <row r="613">
      <c r="E613" s="28"/>
    </row>
    <row r="614">
      <c r="E614" s="28"/>
    </row>
    <row r="615">
      <c r="E615" s="28"/>
    </row>
    <row r="616">
      <c r="E616" s="28"/>
    </row>
    <row r="617">
      <c r="E617" s="28"/>
    </row>
    <row r="618">
      <c r="E618" s="28"/>
    </row>
    <row r="619">
      <c r="E619" s="28"/>
    </row>
    <row r="620">
      <c r="E620" s="28"/>
    </row>
    <row r="621">
      <c r="E621" s="28"/>
    </row>
    <row r="622">
      <c r="E622" s="28"/>
    </row>
    <row r="623">
      <c r="E623" s="28"/>
    </row>
    <row r="624">
      <c r="E624" s="28"/>
    </row>
    <row r="625">
      <c r="E625" s="28"/>
    </row>
    <row r="626">
      <c r="E626" s="28"/>
    </row>
    <row r="627">
      <c r="E627" s="28"/>
    </row>
    <row r="628">
      <c r="E628" s="28"/>
    </row>
    <row r="629">
      <c r="E629" s="28"/>
    </row>
    <row r="630">
      <c r="E630" s="28"/>
    </row>
    <row r="631">
      <c r="E631" s="28"/>
    </row>
    <row r="632">
      <c r="E632" s="28"/>
    </row>
    <row r="633">
      <c r="E633" s="28"/>
    </row>
    <row r="634">
      <c r="E634" s="28"/>
    </row>
    <row r="635">
      <c r="E635" s="28"/>
    </row>
    <row r="636">
      <c r="E636" s="28"/>
    </row>
    <row r="637">
      <c r="E637" s="28"/>
    </row>
    <row r="638">
      <c r="E638" s="28"/>
    </row>
    <row r="639">
      <c r="E639" s="28"/>
    </row>
    <row r="640">
      <c r="E640" s="28"/>
    </row>
    <row r="641">
      <c r="E641" s="28"/>
    </row>
    <row r="642">
      <c r="E642" s="28"/>
    </row>
    <row r="643">
      <c r="E643" s="28"/>
    </row>
    <row r="644">
      <c r="E644" s="28"/>
    </row>
    <row r="645">
      <c r="E645" s="28"/>
    </row>
    <row r="646">
      <c r="E646" s="28"/>
    </row>
    <row r="647">
      <c r="E647" s="28"/>
    </row>
    <row r="648">
      <c r="E648" s="28"/>
    </row>
    <row r="649">
      <c r="E649" s="28"/>
    </row>
    <row r="650">
      <c r="E650" s="28"/>
    </row>
    <row r="651">
      <c r="E651" s="28"/>
    </row>
    <row r="652">
      <c r="E652" s="28"/>
    </row>
    <row r="653">
      <c r="E653" s="28"/>
    </row>
    <row r="654">
      <c r="E654" s="28"/>
    </row>
    <row r="655">
      <c r="E655" s="28"/>
    </row>
    <row r="656">
      <c r="E656" s="28"/>
    </row>
    <row r="657">
      <c r="E657" s="28"/>
    </row>
    <row r="658">
      <c r="E658" s="28"/>
    </row>
    <row r="659">
      <c r="E659" s="28"/>
    </row>
    <row r="660">
      <c r="E660" s="28"/>
    </row>
    <row r="661">
      <c r="E661" s="28"/>
    </row>
    <row r="662">
      <c r="E662" s="28"/>
    </row>
    <row r="663">
      <c r="E663" s="28"/>
    </row>
    <row r="664">
      <c r="E664" s="28"/>
    </row>
    <row r="665">
      <c r="E665" s="28"/>
    </row>
    <row r="666">
      <c r="E666" s="28"/>
    </row>
    <row r="667">
      <c r="E667" s="28"/>
    </row>
    <row r="668">
      <c r="E668" s="28"/>
    </row>
    <row r="669">
      <c r="E669" s="28"/>
    </row>
    <row r="670">
      <c r="E670" s="28"/>
    </row>
    <row r="671">
      <c r="E671" s="28"/>
    </row>
    <row r="672">
      <c r="E672" s="28"/>
    </row>
    <row r="673">
      <c r="E673" s="28"/>
    </row>
    <row r="674">
      <c r="E674" s="28"/>
    </row>
    <row r="675">
      <c r="E675" s="28"/>
    </row>
    <row r="676">
      <c r="E676" s="28"/>
    </row>
    <row r="677">
      <c r="E677" s="28"/>
    </row>
    <row r="678">
      <c r="E678" s="28"/>
    </row>
    <row r="679">
      <c r="E679" s="28"/>
    </row>
    <row r="680">
      <c r="E680" s="28"/>
    </row>
    <row r="681">
      <c r="E681" s="28"/>
    </row>
    <row r="682">
      <c r="E682" s="28"/>
    </row>
    <row r="683">
      <c r="E683" s="28"/>
    </row>
    <row r="684">
      <c r="E684" s="28"/>
    </row>
    <row r="685">
      <c r="E685" s="28"/>
    </row>
    <row r="686">
      <c r="E686" s="28"/>
    </row>
    <row r="687">
      <c r="E687" s="28"/>
    </row>
    <row r="688">
      <c r="E688" s="28"/>
    </row>
    <row r="689">
      <c r="E689" s="28"/>
    </row>
    <row r="690">
      <c r="E690" s="28"/>
    </row>
    <row r="691">
      <c r="E691" s="28"/>
    </row>
    <row r="692">
      <c r="E692" s="28"/>
    </row>
    <row r="693">
      <c r="E693" s="28"/>
    </row>
    <row r="694">
      <c r="E694" s="28"/>
    </row>
    <row r="695">
      <c r="E695" s="28"/>
    </row>
    <row r="696">
      <c r="E696" s="28"/>
    </row>
    <row r="697">
      <c r="E697" s="28"/>
    </row>
    <row r="698">
      <c r="E698" s="28"/>
    </row>
    <row r="699">
      <c r="E699" s="28"/>
    </row>
    <row r="700">
      <c r="E700" s="28"/>
    </row>
    <row r="701">
      <c r="E701" s="28"/>
    </row>
    <row r="702">
      <c r="E702" s="28"/>
    </row>
    <row r="703">
      <c r="E703" s="28"/>
    </row>
    <row r="704">
      <c r="E704" s="28"/>
    </row>
    <row r="705">
      <c r="E705" s="28"/>
    </row>
    <row r="706">
      <c r="E706" s="28"/>
    </row>
    <row r="707">
      <c r="E707" s="28"/>
    </row>
    <row r="708">
      <c r="E708" s="28"/>
    </row>
    <row r="709">
      <c r="E709" s="28"/>
    </row>
    <row r="710">
      <c r="E710" s="28"/>
    </row>
    <row r="711">
      <c r="E711" s="28"/>
    </row>
    <row r="712">
      <c r="E712" s="28"/>
    </row>
    <row r="713">
      <c r="E713" s="28"/>
    </row>
    <row r="714">
      <c r="E714" s="28"/>
    </row>
    <row r="715">
      <c r="E715" s="28"/>
    </row>
    <row r="716">
      <c r="E716" s="28"/>
    </row>
    <row r="717">
      <c r="E717" s="28"/>
    </row>
    <row r="718">
      <c r="E718" s="28"/>
    </row>
    <row r="719">
      <c r="E719" s="28"/>
    </row>
    <row r="720">
      <c r="E720" s="28"/>
    </row>
    <row r="721">
      <c r="E721" s="28"/>
    </row>
    <row r="722">
      <c r="E722" s="28"/>
    </row>
    <row r="723">
      <c r="E723" s="28"/>
    </row>
    <row r="724">
      <c r="E724" s="28"/>
    </row>
    <row r="725">
      <c r="E725" s="28"/>
    </row>
    <row r="726">
      <c r="E726" s="28"/>
    </row>
    <row r="727">
      <c r="E727" s="28"/>
    </row>
    <row r="728">
      <c r="E728" s="28"/>
    </row>
    <row r="729">
      <c r="E729" s="28"/>
    </row>
    <row r="730">
      <c r="E730" s="28"/>
    </row>
    <row r="731">
      <c r="E731" s="28"/>
    </row>
    <row r="732">
      <c r="E732" s="28"/>
    </row>
    <row r="733">
      <c r="E733" s="28"/>
    </row>
    <row r="734">
      <c r="E734" s="28"/>
    </row>
    <row r="735">
      <c r="E735" s="28"/>
    </row>
    <row r="736">
      <c r="E736" s="28"/>
    </row>
    <row r="737">
      <c r="E737" s="28"/>
    </row>
    <row r="738">
      <c r="E738" s="28"/>
    </row>
    <row r="739">
      <c r="E739" s="28"/>
    </row>
    <row r="740">
      <c r="E740" s="28"/>
    </row>
    <row r="741">
      <c r="E741" s="28"/>
    </row>
    <row r="742">
      <c r="E742" s="28"/>
    </row>
    <row r="743">
      <c r="E743" s="28"/>
    </row>
    <row r="744">
      <c r="E744" s="28"/>
    </row>
    <row r="745">
      <c r="E745" s="28"/>
    </row>
    <row r="746">
      <c r="E746" s="28"/>
    </row>
    <row r="747">
      <c r="E747" s="28"/>
    </row>
    <row r="748">
      <c r="E748" s="28"/>
    </row>
    <row r="749">
      <c r="E749" s="28"/>
    </row>
    <row r="750">
      <c r="E750" s="28"/>
    </row>
    <row r="751">
      <c r="E751" s="28"/>
    </row>
    <row r="752">
      <c r="E752" s="28"/>
    </row>
    <row r="753">
      <c r="E753" s="28"/>
    </row>
    <row r="754">
      <c r="E754" s="28"/>
    </row>
    <row r="755">
      <c r="E755" s="28"/>
    </row>
    <row r="756">
      <c r="E756" s="28"/>
    </row>
    <row r="757">
      <c r="E757" s="28"/>
    </row>
    <row r="758">
      <c r="E758" s="28"/>
    </row>
    <row r="759">
      <c r="E759" s="28"/>
    </row>
    <row r="760">
      <c r="E760" s="28"/>
    </row>
    <row r="761">
      <c r="E761" s="28"/>
    </row>
    <row r="762">
      <c r="E762" s="28"/>
    </row>
    <row r="763">
      <c r="E763" s="28"/>
    </row>
    <row r="764">
      <c r="E764" s="28"/>
    </row>
    <row r="765">
      <c r="E765" s="28"/>
    </row>
    <row r="766">
      <c r="E766" s="28"/>
    </row>
    <row r="767">
      <c r="E767" s="28"/>
    </row>
    <row r="768">
      <c r="E768" s="28"/>
    </row>
    <row r="769">
      <c r="E769" s="28"/>
    </row>
    <row r="770">
      <c r="E770" s="28"/>
    </row>
    <row r="771">
      <c r="E771" s="28"/>
    </row>
    <row r="772">
      <c r="E772" s="28"/>
    </row>
    <row r="773">
      <c r="E773" s="28"/>
    </row>
    <row r="774">
      <c r="E774" s="28"/>
    </row>
    <row r="775">
      <c r="E775" s="28"/>
    </row>
    <row r="776">
      <c r="E776" s="28"/>
    </row>
    <row r="777">
      <c r="E777" s="28"/>
    </row>
    <row r="778">
      <c r="E778" s="28"/>
    </row>
    <row r="779">
      <c r="E779" s="28"/>
    </row>
    <row r="780">
      <c r="E780" s="28"/>
    </row>
    <row r="781">
      <c r="E781" s="28"/>
    </row>
    <row r="782">
      <c r="E782" s="28"/>
    </row>
    <row r="783">
      <c r="E783" s="28"/>
    </row>
    <row r="784">
      <c r="E784" s="28"/>
    </row>
    <row r="785">
      <c r="E785" s="28"/>
    </row>
    <row r="786">
      <c r="E786" s="28"/>
    </row>
    <row r="787">
      <c r="E787" s="28"/>
    </row>
    <row r="788">
      <c r="E788" s="28"/>
    </row>
    <row r="789">
      <c r="E789" s="28"/>
    </row>
    <row r="790">
      <c r="E790" s="28"/>
    </row>
    <row r="791">
      <c r="E791" s="28"/>
    </row>
    <row r="792">
      <c r="E792" s="28"/>
    </row>
    <row r="793">
      <c r="E793" s="28"/>
    </row>
    <row r="794">
      <c r="E794" s="28"/>
    </row>
    <row r="795">
      <c r="E795" s="28"/>
    </row>
    <row r="796">
      <c r="E796" s="28"/>
    </row>
    <row r="797">
      <c r="E797" s="28"/>
    </row>
    <row r="798">
      <c r="E798" s="28"/>
    </row>
    <row r="799">
      <c r="E799" s="28"/>
    </row>
    <row r="800">
      <c r="E800" s="28"/>
    </row>
    <row r="801">
      <c r="E801" s="28"/>
    </row>
    <row r="802">
      <c r="E802" s="28"/>
    </row>
    <row r="803">
      <c r="E803" s="28"/>
    </row>
    <row r="804">
      <c r="E804" s="28"/>
    </row>
    <row r="805">
      <c r="E805" s="28"/>
    </row>
    <row r="806">
      <c r="E806" s="28"/>
    </row>
    <row r="807">
      <c r="E807" s="28"/>
    </row>
    <row r="808">
      <c r="E808" s="28"/>
    </row>
    <row r="809">
      <c r="E809" s="28"/>
    </row>
    <row r="810">
      <c r="E810" s="28"/>
    </row>
    <row r="811">
      <c r="E811" s="28"/>
    </row>
    <row r="812">
      <c r="E812" s="28"/>
    </row>
    <row r="813">
      <c r="E813" s="28"/>
    </row>
    <row r="814">
      <c r="E814" s="28"/>
    </row>
    <row r="815">
      <c r="E815" s="28"/>
    </row>
    <row r="816">
      <c r="E816" s="28"/>
    </row>
    <row r="817">
      <c r="E817" s="28"/>
    </row>
    <row r="818">
      <c r="E818" s="28"/>
    </row>
    <row r="819">
      <c r="E819" s="28"/>
    </row>
    <row r="820">
      <c r="E820" s="28"/>
    </row>
    <row r="821">
      <c r="E821" s="28"/>
    </row>
    <row r="822">
      <c r="E822" s="28"/>
    </row>
    <row r="823">
      <c r="E823" s="28"/>
    </row>
    <row r="824">
      <c r="E824" s="28"/>
    </row>
    <row r="825">
      <c r="E825" s="28"/>
    </row>
    <row r="826">
      <c r="E826" s="28"/>
    </row>
    <row r="827">
      <c r="E827" s="28"/>
    </row>
    <row r="828">
      <c r="E828" s="28"/>
    </row>
    <row r="829">
      <c r="E829" s="28"/>
    </row>
    <row r="830">
      <c r="E830" s="28"/>
    </row>
    <row r="831">
      <c r="E831" s="28"/>
    </row>
    <row r="832">
      <c r="E832" s="28"/>
    </row>
    <row r="833">
      <c r="E833" s="28"/>
    </row>
    <row r="834">
      <c r="E834" s="28"/>
    </row>
    <row r="835">
      <c r="E835" s="28"/>
    </row>
    <row r="836">
      <c r="E836" s="28"/>
    </row>
    <row r="837">
      <c r="E837" s="28"/>
    </row>
    <row r="838">
      <c r="E838" s="28"/>
    </row>
    <row r="839">
      <c r="E839" s="28"/>
    </row>
    <row r="840">
      <c r="E840" s="28"/>
    </row>
    <row r="841">
      <c r="E841" s="28"/>
    </row>
    <row r="842">
      <c r="E842" s="28"/>
    </row>
    <row r="843">
      <c r="E843" s="28"/>
    </row>
    <row r="844">
      <c r="E844" s="28"/>
    </row>
    <row r="845">
      <c r="E845" s="28"/>
    </row>
    <row r="846">
      <c r="E846" s="28"/>
    </row>
    <row r="847">
      <c r="E847" s="28"/>
    </row>
    <row r="848">
      <c r="E848" s="28"/>
    </row>
    <row r="849">
      <c r="E849" s="28"/>
    </row>
    <row r="850">
      <c r="E850" s="28"/>
    </row>
    <row r="851">
      <c r="E851" s="28"/>
    </row>
    <row r="852">
      <c r="E852" s="28"/>
    </row>
    <row r="853">
      <c r="E853" s="28"/>
    </row>
    <row r="854">
      <c r="E854" s="28"/>
    </row>
    <row r="855">
      <c r="E855" s="28"/>
    </row>
    <row r="856">
      <c r="E856" s="28"/>
    </row>
    <row r="857">
      <c r="E857" s="28"/>
    </row>
    <row r="858">
      <c r="E858" s="28"/>
    </row>
    <row r="859">
      <c r="E859" s="28"/>
    </row>
    <row r="860">
      <c r="E860" s="28"/>
    </row>
    <row r="861">
      <c r="E861" s="28"/>
    </row>
    <row r="862">
      <c r="E862" s="28"/>
    </row>
    <row r="863">
      <c r="E863" s="28"/>
    </row>
    <row r="864">
      <c r="E864" s="28"/>
    </row>
    <row r="865">
      <c r="E865" s="28"/>
    </row>
    <row r="866">
      <c r="E866" s="28"/>
    </row>
    <row r="867">
      <c r="E867" s="28"/>
    </row>
    <row r="868">
      <c r="E868" s="28"/>
    </row>
    <row r="869">
      <c r="E869" s="28"/>
    </row>
    <row r="870">
      <c r="E870" s="28"/>
    </row>
    <row r="871">
      <c r="E871" s="28"/>
    </row>
    <row r="872">
      <c r="E872" s="28"/>
    </row>
    <row r="873">
      <c r="E873" s="28"/>
    </row>
    <row r="874">
      <c r="E874" s="28"/>
    </row>
    <row r="875">
      <c r="E875" s="28"/>
    </row>
    <row r="876">
      <c r="E876" s="28"/>
    </row>
    <row r="877">
      <c r="E877" s="28"/>
    </row>
    <row r="878">
      <c r="E878" s="28"/>
    </row>
    <row r="879">
      <c r="E879" s="28"/>
    </row>
    <row r="880">
      <c r="E880" s="28"/>
    </row>
    <row r="881">
      <c r="E881" s="28"/>
    </row>
    <row r="882">
      <c r="E882" s="28"/>
    </row>
    <row r="883">
      <c r="E883" s="28"/>
    </row>
    <row r="884">
      <c r="E884" s="28"/>
    </row>
    <row r="885">
      <c r="E885" s="28"/>
    </row>
    <row r="886">
      <c r="E886" s="28"/>
    </row>
    <row r="887">
      <c r="E887" s="28"/>
    </row>
    <row r="888">
      <c r="E888" s="28"/>
    </row>
    <row r="889">
      <c r="E889" s="28"/>
    </row>
    <row r="890">
      <c r="E890" s="28"/>
    </row>
    <row r="891">
      <c r="E891" s="28"/>
    </row>
    <row r="892">
      <c r="E892" s="28"/>
    </row>
    <row r="893">
      <c r="E893" s="28"/>
    </row>
    <row r="894">
      <c r="E894" s="28"/>
    </row>
    <row r="895">
      <c r="E895" s="28"/>
    </row>
    <row r="896">
      <c r="E896" s="28"/>
    </row>
    <row r="897">
      <c r="E897" s="28"/>
    </row>
    <row r="898">
      <c r="E898" s="28"/>
    </row>
    <row r="899">
      <c r="E899" s="28"/>
    </row>
    <row r="900">
      <c r="E900" s="28"/>
    </row>
    <row r="901">
      <c r="E901" s="28"/>
    </row>
    <row r="902">
      <c r="E902" s="28"/>
    </row>
    <row r="903">
      <c r="E903" s="28"/>
    </row>
    <row r="904">
      <c r="E904" s="28"/>
    </row>
    <row r="905">
      <c r="E905" s="28"/>
    </row>
    <row r="906">
      <c r="E906" s="28"/>
    </row>
    <row r="907">
      <c r="E907" s="28"/>
    </row>
    <row r="908">
      <c r="E908" s="28"/>
    </row>
    <row r="909">
      <c r="E909" s="28"/>
    </row>
    <row r="910">
      <c r="E910" s="28"/>
    </row>
    <row r="911">
      <c r="E911" s="28"/>
    </row>
    <row r="912">
      <c r="E912" s="28"/>
    </row>
    <row r="913">
      <c r="E913" s="28"/>
    </row>
    <row r="914">
      <c r="E914" s="28"/>
    </row>
    <row r="915">
      <c r="E915" s="28"/>
    </row>
    <row r="916">
      <c r="E916" s="28"/>
    </row>
    <row r="917">
      <c r="E917" s="28"/>
    </row>
    <row r="918">
      <c r="E918" s="28"/>
    </row>
    <row r="919">
      <c r="E919" s="28"/>
    </row>
    <row r="920">
      <c r="E920" s="28"/>
    </row>
    <row r="921">
      <c r="E921" s="28"/>
    </row>
    <row r="922">
      <c r="E922" s="28"/>
    </row>
    <row r="923">
      <c r="E923" s="28"/>
    </row>
    <row r="924">
      <c r="E924" s="28"/>
    </row>
    <row r="925">
      <c r="E925" s="28"/>
    </row>
    <row r="926">
      <c r="E926" s="28"/>
    </row>
    <row r="927">
      <c r="E927" s="28"/>
    </row>
    <row r="928">
      <c r="E928" s="28"/>
    </row>
    <row r="929">
      <c r="E929" s="28"/>
    </row>
    <row r="930">
      <c r="E930" s="28"/>
    </row>
    <row r="931">
      <c r="E931" s="28"/>
    </row>
    <row r="932">
      <c r="E932" s="28"/>
    </row>
    <row r="933">
      <c r="E933" s="28"/>
    </row>
    <row r="934">
      <c r="E934" s="28"/>
    </row>
    <row r="935">
      <c r="E935" s="28"/>
    </row>
    <row r="936">
      <c r="E936" s="28"/>
    </row>
    <row r="937">
      <c r="E937" s="28"/>
    </row>
    <row r="938">
      <c r="E938" s="28"/>
    </row>
    <row r="939">
      <c r="E939" s="28"/>
    </row>
    <row r="940">
      <c r="E940" s="28"/>
    </row>
    <row r="941">
      <c r="E941" s="28"/>
    </row>
    <row r="942">
      <c r="E942" s="28"/>
    </row>
    <row r="943">
      <c r="E943" s="28"/>
    </row>
    <row r="944">
      <c r="E944" s="28"/>
    </row>
    <row r="945">
      <c r="E945" s="28"/>
    </row>
    <row r="946">
      <c r="E946" s="28"/>
    </row>
    <row r="947">
      <c r="E947" s="28"/>
    </row>
    <row r="948">
      <c r="E948" s="28"/>
    </row>
    <row r="949">
      <c r="E949" s="28"/>
    </row>
    <row r="950">
      <c r="E950" s="28"/>
    </row>
    <row r="951">
      <c r="E951" s="28"/>
    </row>
    <row r="952">
      <c r="E952" s="28"/>
    </row>
    <row r="953">
      <c r="E953" s="28"/>
    </row>
    <row r="954">
      <c r="E954" s="28"/>
    </row>
    <row r="955">
      <c r="E955" s="28"/>
    </row>
    <row r="956">
      <c r="E956" s="28"/>
    </row>
    <row r="957">
      <c r="E957" s="28"/>
    </row>
    <row r="958">
      <c r="E958" s="28"/>
    </row>
    <row r="959">
      <c r="E959" s="28"/>
    </row>
    <row r="960">
      <c r="E960" s="28"/>
    </row>
    <row r="961">
      <c r="E961" s="28"/>
    </row>
    <row r="962">
      <c r="E962" s="28"/>
    </row>
    <row r="963">
      <c r="E963" s="28"/>
    </row>
    <row r="964">
      <c r="E964" s="28"/>
    </row>
    <row r="965">
      <c r="E965" s="28"/>
    </row>
    <row r="966">
      <c r="E966" s="28"/>
    </row>
    <row r="967">
      <c r="E967" s="28"/>
    </row>
    <row r="968">
      <c r="E968" s="28"/>
    </row>
    <row r="969">
      <c r="E969" s="28"/>
    </row>
    <row r="970">
      <c r="E970" s="28"/>
    </row>
    <row r="971">
      <c r="E971" s="28"/>
    </row>
    <row r="972">
      <c r="E972" s="28"/>
    </row>
    <row r="973">
      <c r="E973" s="28"/>
    </row>
    <row r="974">
      <c r="E974" s="28"/>
    </row>
    <row r="975">
      <c r="E975" s="28"/>
    </row>
    <row r="976">
      <c r="E976" s="28"/>
    </row>
    <row r="977">
      <c r="E977" s="28"/>
    </row>
    <row r="978">
      <c r="E978" s="28"/>
    </row>
    <row r="979">
      <c r="E979" s="28"/>
    </row>
    <row r="980">
      <c r="E980" s="28"/>
    </row>
    <row r="981">
      <c r="E981" s="28"/>
    </row>
    <row r="982">
      <c r="E982" s="28"/>
    </row>
    <row r="983">
      <c r="E983" s="28"/>
    </row>
    <row r="984">
      <c r="E984" s="28"/>
    </row>
    <row r="985">
      <c r="E985" s="28"/>
    </row>
    <row r="986">
      <c r="E986" s="28"/>
    </row>
    <row r="987">
      <c r="E987" s="28"/>
    </row>
    <row r="988">
      <c r="E988" s="28"/>
    </row>
    <row r="989">
      <c r="E989" s="28"/>
    </row>
    <row r="990">
      <c r="E990" s="28"/>
    </row>
    <row r="991">
      <c r="E991" s="28"/>
    </row>
    <row r="992">
      <c r="E992" s="28"/>
    </row>
    <row r="993">
      <c r="E993" s="28"/>
    </row>
    <row r="994">
      <c r="E994" s="28"/>
    </row>
    <row r="995">
      <c r="E995" s="28"/>
    </row>
    <row r="996">
      <c r="E996" s="28"/>
    </row>
    <row r="997">
      <c r="E997" s="28"/>
    </row>
    <row r="998">
      <c r="E998" s="28"/>
    </row>
    <row r="999">
      <c r="E999" s="28"/>
    </row>
    <row r="1000">
      <c r="E1000" s="28"/>
    </row>
    <row r="1001">
      <c r="E1001" s="28"/>
    </row>
    <row r="1002">
      <c r="E1002" s="28"/>
    </row>
    <row r="1003">
      <c r="E1003" s="28"/>
    </row>
    <row r="1004">
      <c r="E1004" s="28"/>
    </row>
    <row r="1005">
      <c r="E1005" s="28"/>
    </row>
    <row r="1006">
      <c r="E1006" s="28"/>
    </row>
    <row r="1007">
      <c r="E1007" s="28"/>
    </row>
    <row r="1008">
      <c r="E1008" s="28"/>
    </row>
    <row r="1009">
      <c r="E1009" s="28"/>
    </row>
    <row r="1010">
      <c r="E1010" s="28"/>
    </row>
    <row r="1011">
      <c r="E1011" s="28"/>
    </row>
    <row r="1012">
      <c r="E1012" s="28"/>
    </row>
    <row r="1013">
      <c r="E1013" s="28"/>
    </row>
    <row r="1014">
      <c r="E1014" s="28"/>
    </row>
    <row r="1015">
      <c r="E1015" s="28"/>
    </row>
    <row r="1016">
      <c r="E1016" s="28"/>
    </row>
    <row r="1017">
      <c r="E1017" s="28"/>
    </row>
    <row r="1018">
      <c r="E1018" s="28"/>
    </row>
    <row r="1019">
      <c r="E1019" s="28"/>
    </row>
    <row r="1020">
      <c r="E1020" s="28"/>
    </row>
    <row r="1021">
      <c r="E1021" s="28"/>
    </row>
    <row r="1022">
      <c r="E1022" s="28"/>
    </row>
    <row r="1023">
      <c r="E1023" s="28"/>
    </row>
    <row r="1024">
      <c r="E1024" s="28"/>
    </row>
    <row r="1025">
      <c r="E1025" s="28"/>
    </row>
    <row r="1026">
      <c r="E1026" s="28"/>
    </row>
    <row r="1027">
      <c r="E1027" s="28"/>
    </row>
    <row r="1028">
      <c r="E1028" s="28"/>
    </row>
    <row r="1029">
      <c r="E1029" s="28"/>
    </row>
    <row r="1030">
      <c r="E1030" s="28"/>
    </row>
    <row r="1031">
      <c r="E1031" s="28"/>
    </row>
    <row r="1032">
      <c r="E1032" s="28"/>
    </row>
    <row r="1033">
      <c r="E1033" s="28"/>
    </row>
    <row r="1034">
      <c r="E1034" s="28"/>
    </row>
    <row r="1035">
      <c r="E1035" s="28"/>
    </row>
    <row r="1036">
      <c r="E1036" s="28"/>
    </row>
    <row r="1037">
      <c r="E1037" s="28"/>
    </row>
    <row r="1038">
      <c r="E1038" s="28"/>
    </row>
    <row r="1039">
      <c r="E1039" s="28"/>
    </row>
  </sheetData>
  <mergeCells count="10">
    <mergeCell ref="C8:D8"/>
    <mergeCell ref="E8:F8"/>
    <mergeCell ref="G63:H63"/>
    <mergeCell ref="B2:I3"/>
    <mergeCell ref="B5:F5"/>
    <mergeCell ref="G5:I5"/>
    <mergeCell ref="B7:B8"/>
    <mergeCell ref="C7:F7"/>
    <mergeCell ref="G7:I7"/>
    <mergeCell ref="L7:L8"/>
  </mergeCells>
  <conditionalFormatting sqref="G9:G59">
    <cfRule type="cellIs" dxfId="1" priority="1" operator="between">
      <formula>1</formula>
      <formula>0.9*F9+1</formula>
    </cfRule>
  </conditionalFormatting>
  <conditionalFormatting sqref="G9:G59">
    <cfRule type="cellIs" dxfId="2" priority="2" operator="greaterThan">
      <formula>F9</formula>
    </cfRule>
  </conditionalFormatting>
  <conditionalFormatting sqref="G9:G59">
    <cfRule type="cellIs" dxfId="3" priority="3" operator="between">
      <formula>0.9*F9+1</formula>
      <formula>F9+1</formula>
    </cfRule>
  </conditionalFormatting>
  <conditionalFormatting sqref="G9:G60">
    <cfRule type="cellIs" dxfId="4" priority="4" operator="equal">
      <formula>0</formula>
    </cfRule>
  </conditionalFormatting>
  <conditionalFormatting sqref="I63">
    <cfRule type="cellIs" dxfId="5" priority="5" operator="equal">
      <formula>0</formula>
    </cfRule>
  </conditionalFormatting>
  <conditionalFormatting sqref="I63">
    <cfRule type="cellIs" dxfId="1" priority="6" operator="greaterThan">
      <formula>1</formula>
    </cfRule>
  </conditionalFormatting>
  <conditionalFormatting sqref="I63">
    <cfRule type="cellIs" dxfId="2" priority="7" operator="lessThan">
      <formula>0</formula>
    </cfRule>
  </conditionalFormatting>
  <conditionalFormatting sqref="I61">
    <cfRule type="cellIs" dxfId="6" priority="8" operator="equal">
      <formula>0</formula>
    </cfRule>
  </conditionalFormatting>
  <conditionalFormatting sqref="I61">
    <cfRule type="cellIs" dxfId="7" priority="9" operator="greaterThan">
      <formula>1</formula>
    </cfRule>
  </conditionalFormatting>
  <conditionalFormatting sqref="G60">
    <cfRule type="cellIs" dxfId="8" priority="10" operator="between">
      <formula>1</formula>
      <formula>0.9*D60</formula>
    </cfRule>
  </conditionalFormatting>
  <conditionalFormatting sqref="G60">
    <cfRule type="cellIs" dxfId="3" priority="11" operator="between">
      <formula>0.9*D60</formula>
      <formula>D60</formula>
    </cfRule>
  </conditionalFormatting>
  <conditionalFormatting sqref="G60">
    <cfRule type="cellIs" dxfId="2" priority="12" operator="greaterThan">
      <formula>D60</formula>
    </cfRule>
  </conditionalFormatting>
  <dataValidations>
    <dataValidation type="custom" allowBlank="1" showDropDown="1" showErrorMessage="1" sqref="G26 H27:H28 G29">
      <formula1>ISNUMBER(G26:G71)</formula1>
    </dataValidation>
    <dataValidation type="custom" allowBlank="1" showDropDown="1" showErrorMessage="1" sqref="G27:G28">
      <formula1>ISNUMBER(G27:G71)</formula1>
    </dataValidation>
    <dataValidation type="custom" allowBlank="1" showDropDown="1" showErrorMessage="1" sqref="G18:H19 G21:H25 H26 H29 G30 G33:G34 G36">
      <formula1>ISNUMBER(G18:G64)</formula1>
    </dataValidation>
    <dataValidation type="custom" allowBlank="1" showDropDown="1" showErrorMessage="1" sqref="G38:H51 G58:H61">
      <formula1>ISNUMBER(G38:G76)</formula1>
    </dataValidation>
    <dataValidation type="custom" allowBlank="1" showDropDown="1" showErrorMessage="1" sqref="G52:H57">
      <formula1>ISNUMBER(G52:G89)</formula1>
    </dataValidation>
    <dataValidation type="custom" allowBlank="1" showDropDown="1" showErrorMessage="1" sqref="G14:H16">
      <formula1>ISNUMBER(G14:G64)</formula1>
    </dataValidation>
    <dataValidation type="custom" allowBlank="1" showDropDown="1" showErrorMessage="1" sqref="G9:H9">
      <formula1>ISNUMBER(G9:G61)</formula1>
    </dataValidation>
    <dataValidation type="custom" allowBlank="1" showDropDown="1" showErrorMessage="1" sqref="G10:H12">
      <formula1>ISNUMBER(G10:G61)</formula1>
    </dataValidation>
    <dataValidation type="custom" allowBlank="1" showDropDown="1" showErrorMessage="1" sqref="G17:H17 H30 G31:G32 H33:H34 H36 G37">
      <formula1>ISNUMBER(G17:G64)</formula1>
    </dataValidation>
    <dataValidation type="custom" allowBlank="1" showDropDown="1" showErrorMessage="1" sqref="H31:H32 H37">
      <formula1>ISNUMBER(H31:H79)</formula1>
    </dataValidation>
    <dataValidation type="custom" allowBlank="1" showDropDown="1" showErrorMessage="1" sqref="G35:H35">
      <formula1>ISNUMBER(G14:G64)</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3.63"/>
    <col customWidth="1" min="2" max="2" width="14.63"/>
    <col customWidth="1" min="3" max="3" width="2.13"/>
    <col customWidth="1" min="4" max="5" width="14.63"/>
    <col customWidth="1" min="6" max="6" width="1.88"/>
    <col customWidth="1" min="7" max="7" width="14.63"/>
    <col customWidth="1" min="8" max="8" width="5.63"/>
    <col customWidth="1" min="9" max="9" width="10.25"/>
    <col customWidth="1" min="10" max="10" width="2.5"/>
    <col customWidth="1" min="11" max="11" width="10.25"/>
    <col customWidth="1" min="12" max="12" width="5.88"/>
    <col customWidth="1" min="13" max="16" width="10.25"/>
  </cols>
  <sheetData>
    <row r="1">
      <c r="A1" s="1"/>
      <c r="B1" s="1"/>
      <c r="C1" s="1"/>
      <c r="D1" s="1"/>
      <c r="E1" s="1"/>
      <c r="F1" s="1"/>
      <c r="G1" s="1"/>
      <c r="H1" s="1"/>
      <c r="I1" s="1"/>
      <c r="J1" s="1"/>
      <c r="K1" s="1"/>
      <c r="L1" s="1"/>
      <c r="M1" s="1"/>
      <c r="N1" s="1"/>
      <c r="O1" s="1"/>
      <c r="P1" s="1"/>
      <c r="Q1" s="1"/>
      <c r="R1" s="1"/>
      <c r="S1" s="1"/>
      <c r="T1" s="1"/>
      <c r="U1" s="1"/>
      <c r="V1" s="1"/>
    </row>
    <row r="2" ht="36.0" customHeight="1">
      <c r="A2" s="1"/>
      <c r="B2" s="7" t="s">
        <v>1</v>
      </c>
      <c r="C2" s="9"/>
      <c r="D2" s="9"/>
      <c r="E2" s="9"/>
      <c r="F2" s="9"/>
      <c r="G2" s="10"/>
    </row>
    <row r="3">
      <c r="A3" s="1"/>
      <c r="B3" s="11" t="s">
        <v>3</v>
      </c>
      <c r="C3" s="13"/>
      <c r="D3" s="14"/>
      <c r="E3" s="17" t="s">
        <v>4</v>
      </c>
      <c r="F3" s="9"/>
      <c r="G3" s="10"/>
      <c r="I3" s="23" t="s">
        <v>7</v>
      </c>
      <c r="J3" s="16"/>
      <c r="K3" s="18"/>
      <c r="M3" s="24"/>
      <c r="N3" s="24"/>
      <c r="O3" s="24"/>
      <c r="P3" s="24"/>
    </row>
    <row r="4" ht="33.75" customHeight="1">
      <c r="A4" s="1"/>
      <c r="B4" s="34">
        <f>'Budget Calculator'!D15</f>
        <v>5000</v>
      </c>
      <c r="C4" s="13"/>
      <c r="D4" s="14"/>
      <c r="E4" s="38">
        <f>'Budget Calculator'!F15</f>
        <v>6000</v>
      </c>
      <c r="F4" s="9"/>
      <c r="G4" s="10"/>
      <c r="I4" s="42">
        <v>40.0</v>
      </c>
      <c r="J4" s="43" t="s">
        <v>18</v>
      </c>
      <c r="K4" s="45">
        <v>45.0</v>
      </c>
      <c r="M4" s="19" t="s">
        <v>19</v>
      </c>
      <c r="N4" s="20"/>
      <c r="O4" s="20"/>
      <c r="P4" s="22"/>
    </row>
    <row r="5">
      <c r="A5" s="49"/>
      <c r="B5" s="52" t="s">
        <v>21</v>
      </c>
      <c r="C5" s="13"/>
      <c r="D5" s="14"/>
      <c r="E5" s="23" t="s">
        <v>22</v>
      </c>
      <c r="F5" s="16"/>
      <c r="G5" s="18"/>
    </row>
    <row r="6" ht="34.5" customHeight="1">
      <c r="B6" s="57">
        <f>B4/K4</f>
        <v>111.1111111</v>
      </c>
      <c r="C6" s="58" t="s">
        <v>18</v>
      </c>
      <c r="D6" s="61">
        <f>B4/I4</f>
        <v>125</v>
      </c>
      <c r="E6" s="63">
        <f>E4/K4</f>
        <v>133.3333333</v>
      </c>
      <c r="F6" s="65" t="s">
        <v>18</v>
      </c>
      <c r="G6" s="68">
        <f>E4/I4</f>
        <v>150</v>
      </c>
    </row>
  </sheetData>
  <mergeCells count="9">
    <mergeCell ref="B5:D5"/>
    <mergeCell ref="E5:G5"/>
    <mergeCell ref="B2:G2"/>
    <mergeCell ref="B3:D3"/>
    <mergeCell ref="E3:G3"/>
    <mergeCell ref="I3:K3"/>
    <mergeCell ref="B4:D4"/>
    <mergeCell ref="E4:G4"/>
    <mergeCell ref="M4:P4"/>
  </mergeCells>
  <dataValidations>
    <dataValidation type="custom" allowBlank="1" showDropDown="1" showErrorMessage="1" sqref="I4 K4">
      <formula1>ISNUMBER(I4)</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3.38"/>
    <col customWidth="1" min="2" max="2" width="17.5"/>
    <col customWidth="1" min="3" max="6" width="11.75"/>
    <col customWidth="1" min="7" max="9" width="13.75"/>
    <col customWidth="1" min="10" max="10" width="7.38"/>
    <col customWidth="1" min="11" max="13" width="13.0"/>
  </cols>
  <sheetData>
    <row r="1">
      <c r="A1" s="3"/>
    </row>
    <row r="2">
      <c r="A2" s="4"/>
      <c r="B2" s="6" t="s">
        <v>2</v>
      </c>
      <c r="C2" s="9"/>
      <c r="D2" s="9"/>
      <c r="E2" s="9"/>
      <c r="F2" s="10"/>
      <c r="G2" s="12">
        <v>5000.0</v>
      </c>
      <c r="H2" s="9"/>
      <c r="I2" s="10"/>
      <c r="K2" s="19" t="s">
        <v>5</v>
      </c>
      <c r="L2" s="20"/>
      <c r="M2" s="22"/>
    </row>
    <row r="3">
      <c r="A3" s="3"/>
    </row>
    <row r="4">
      <c r="A4" s="26"/>
      <c r="B4" s="27"/>
      <c r="C4" s="29" t="s">
        <v>8</v>
      </c>
      <c r="D4" s="9"/>
      <c r="E4" s="9"/>
      <c r="F4" s="10"/>
      <c r="G4" s="30" t="s">
        <v>10</v>
      </c>
      <c r="H4" s="9"/>
      <c r="I4" s="10"/>
    </row>
    <row r="5">
      <c r="A5" s="32"/>
      <c r="B5" s="33"/>
      <c r="C5" s="17" t="s">
        <v>3</v>
      </c>
      <c r="D5" s="35"/>
      <c r="E5" s="17" t="s">
        <v>4</v>
      </c>
      <c r="F5" s="35"/>
      <c r="G5" s="36" t="s">
        <v>13</v>
      </c>
      <c r="H5" s="36" t="s">
        <v>14</v>
      </c>
      <c r="I5" s="36" t="s">
        <v>16</v>
      </c>
    </row>
    <row r="6">
      <c r="A6" s="40"/>
      <c r="B6" s="39" t="s">
        <v>17</v>
      </c>
      <c r="C6" s="41">
        <v>0.2</v>
      </c>
      <c r="D6" s="47">
        <f>G2 * C6</f>
        <v>1000</v>
      </c>
      <c r="E6" s="50">
        <v>0.25</v>
      </c>
      <c r="F6" s="53">
        <f>G2 * E6</f>
        <v>1250</v>
      </c>
      <c r="G6" s="54">
        <v>0.0</v>
      </c>
      <c r="H6" s="56">
        <v>0.0</v>
      </c>
      <c r="I6" s="59">
        <f t="shared" ref="I6:I11" si="1">G6-H6</f>
        <v>0</v>
      </c>
    </row>
    <row r="7">
      <c r="A7" s="40"/>
      <c r="B7" s="60" t="s">
        <v>23</v>
      </c>
      <c r="C7" s="62">
        <v>0.08</v>
      </c>
      <c r="D7" s="64">
        <f>G2 * C7</f>
        <v>400</v>
      </c>
      <c r="E7" s="66">
        <v>0.1</v>
      </c>
      <c r="F7" s="69">
        <f>G2 * E7</f>
        <v>500</v>
      </c>
      <c r="G7" s="71">
        <v>0.0</v>
      </c>
      <c r="H7" s="73">
        <v>0.0</v>
      </c>
      <c r="I7" s="76">
        <f t="shared" si="1"/>
        <v>0</v>
      </c>
    </row>
    <row r="8">
      <c r="A8" s="40"/>
      <c r="B8" s="60" t="s">
        <v>25</v>
      </c>
      <c r="C8" s="62">
        <v>0.24</v>
      </c>
      <c r="D8" s="64">
        <f>G2 * C8</f>
        <v>1200</v>
      </c>
      <c r="E8" s="66">
        <v>0.3</v>
      </c>
      <c r="F8" s="69">
        <f>G2 * E8</f>
        <v>1500</v>
      </c>
      <c r="G8" s="54">
        <v>0.0</v>
      </c>
      <c r="H8" s="73">
        <v>0.0</v>
      </c>
      <c r="I8" s="76">
        <f t="shared" si="1"/>
        <v>0</v>
      </c>
    </row>
    <row r="9">
      <c r="A9" s="40"/>
      <c r="B9" s="60" t="s">
        <v>27</v>
      </c>
      <c r="C9" s="62">
        <v>0.12</v>
      </c>
      <c r="D9" s="64">
        <f>G2 * C9</f>
        <v>600</v>
      </c>
      <c r="E9" s="66">
        <v>0.15</v>
      </c>
      <c r="F9" s="69">
        <f>G2 * E9</f>
        <v>750</v>
      </c>
      <c r="G9" s="71">
        <v>0.0</v>
      </c>
      <c r="H9" s="88">
        <v>0.0</v>
      </c>
      <c r="I9" s="76">
        <f t="shared" si="1"/>
        <v>0</v>
      </c>
    </row>
    <row r="10">
      <c r="A10" s="40"/>
      <c r="B10" s="60" t="s">
        <v>28</v>
      </c>
      <c r="C10" s="62">
        <v>0.12</v>
      </c>
      <c r="D10" s="64">
        <f>G2 * C10</f>
        <v>600</v>
      </c>
      <c r="E10" s="66">
        <v>0.15</v>
      </c>
      <c r="F10" s="69">
        <f>G2 * E10</f>
        <v>750</v>
      </c>
      <c r="G10" s="54">
        <v>0.0</v>
      </c>
      <c r="H10" s="88">
        <v>0.0</v>
      </c>
      <c r="I10" s="76">
        <f t="shared" si="1"/>
        <v>0</v>
      </c>
    </row>
    <row r="11">
      <c r="A11" s="40"/>
      <c r="B11" s="60" t="s">
        <v>30</v>
      </c>
      <c r="C11" s="62">
        <v>0.04</v>
      </c>
      <c r="D11" s="64">
        <f>G2 * C11</f>
        <v>200</v>
      </c>
      <c r="E11" s="66">
        <v>0.05</v>
      </c>
      <c r="F11" s="64">
        <f>G2 * E11</f>
        <v>250</v>
      </c>
      <c r="G11" s="71">
        <v>0.0</v>
      </c>
      <c r="H11" s="88">
        <v>0.0</v>
      </c>
      <c r="I11" s="76">
        <f t="shared" si="1"/>
        <v>0</v>
      </c>
    </row>
    <row r="12">
      <c r="A12" s="116"/>
      <c r="B12" s="95" t="s">
        <v>31</v>
      </c>
      <c r="C12" s="98">
        <f t="shared" ref="C12:I12" si="2">SUM(C6:C11)</f>
        <v>0.8</v>
      </c>
      <c r="D12" s="100">
        <f t="shared" si="2"/>
        <v>4000</v>
      </c>
      <c r="E12" s="102">
        <f t="shared" si="2"/>
        <v>1</v>
      </c>
      <c r="F12" s="103">
        <f t="shared" si="2"/>
        <v>5000</v>
      </c>
      <c r="G12" s="105">
        <f t="shared" si="2"/>
        <v>0</v>
      </c>
      <c r="H12" s="106">
        <f t="shared" si="2"/>
        <v>0</v>
      </c>
      <c r="I12" s="108">
        <f t="shared" si="2"/>
        <v>0</v>
      </c>
    </row>
    <row r="14">
      <c r="C14" s="109"/>
      <c r="D14" s="109"/>
      <c r="G14" s="110" t="s">
        <v>33</v>
      </c>
      <c r="H14" s="111"/>
      <c r="I14" s="113">
        <f>F12-G12</f>
        <v>5000</v>
      </c>
    </row>
  </sheetData>
  <mergeCells count="9">
    <mergeCell ref="G4:I4"/>
    <mergeCell ref="G14:H14"/>
    <mergeCell ref="B2:F2"/>
    <mergeCell ref="G2:I2"/>
    <mergeCell ref="K2:M2"/>
    <mergeCell ref="B4:B5"/>
    <mergeCell ref="C4:F4"/>
    <mergeCell ref="C5:D5"/>
    <mergeCell ref="E5:F5"/>
  </mergeCells>
  <conditionalFormatting sqref="G6:G11">
    <cfRule type="cellIs" dxfId="1" priority="1" operator="between">
      <formula>1</formula>
      <formula>0.9*F6+1</formula>
    </cfRule>
  </conditionalFormatting>
  <conditionalFormatting sqref="G6:G11">
    <cfRule type="cellIs" dxfId="2" priority="2" operator="greaterThan">
      <formula>F6</formula>
    </cfRule>
  </conditionalFormatting>
  <conditionalFormatting sqref="G6:G11">
    <cfRule type="cellIs" dxfId="3" priority="3" operator="between">
      <formula>0.9*F6+1</formula>
      <formula>F6+1</formula>
    </cfRule>
  </conditionalFormatting>
  <conditionalFormatting sqref="G6:G11">
    <cfRule type="cellIs" dxfId="4" priority="4" operator="equal">
      <formula>0</formula>
    </cfRule>
  </conditionalFormatting>
  <conditionalFormatting sqref="I14">
    <cfRule type="cellIs" dxfId="5" priority="5" operator="equal">
      <formula>0</formula>
    </cfRule>
  </conditionalFormatting>
  <conditionalFormatting sqref="I14">
    <cfRule type="cellIs" dxfId="1" priority="6" operator="greaterThan">
      <formula>1</formula>
    </cfRule>
  </conditionalFormatting>
  <conditionalFormatting sqref="I14">
    <cfRule type="cellIs" dxfId="2" priority="7" operator="lessThan">
      <formula>0</formula>
    </cfRule>
  </conditionalFormatting>
  <conditionalFormatting sqref="I12">
    <cfRule type="cellIs" dxfId="6" priority="8" operator="equal">
      <formula>0</formula>
    </cfRule>
  </conditionalFormatting>
  <conditionalFormatting sqref="I12">
    <cfRule type="cellIs" dxfId="7" priority="9" operator="greaterThan">
      <formula>1</formula>
    </cfRule>
  </conditionalFormatting>
  <dataValidations>
    <dataValidation type="custom" allowBlank="1" showDropDown="1" showErrorMessage="1" sqref="G7:H7">
      <formula1>ISNUMBER(G7:G15)</formula1>
    </dataValidation>
    <dataValidation type="custom" allowBlank="1" showDropDown="1" showErrorMessage="1" sqref="G11:H11">
      <formula1>ISNUMBER(G11:G41)</formula1>
    </dataValidation>
    <dataValidation type="custom" allowBlank="1" showDropDown="1" showErrorMessage="1" sqref="G10:H10">
      <formula1>ISNUMBER(G10:G37)</formula1>
    </dataValidation>
    <dataValidation type="custom" allowBlank="1" showDropDown="1" showErrorMessage="1" sqref="G12:H12">
      <formula1>ISNUMBER(G12:G50)</formula1>
    </dataValidation>
    <dataValidation type="custom" allowBlank="1" showDropDown="1" showErrorMessage="1" sqref="G8:H8">
      <formula1>ISNUMBER(G8:G21)</formula1>
    </dataValidation>
    <dataValidation type="custom" allowBlank="1" showDropDown="1" showErrorMessage="1" sqref="G6:H6">
      <formula1>ISNUMBER(G6:G12)</formula1>
    </dataValidation>
    <dataValidation type="custom" allowBlank="1" showDropDown="1" showErrorMessage="1" sqref="G9:H9">
      <formula1>ISNUMBER(G9:G27)</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88"/>
    <col customWidth="1" min="2" max="2" width="17.5"/>
    <col customWidth="1" min="3" max="6" width="9.75"/>
    <col customWidth="1" min="7" max="9" width="15.0"/>
    <col customWidth="1" min="10" max="10" width="7.38"/>
    <col customWidth="1" min="11" max="13" width="11.0"/>
  </cols>
  <sheetData>
    <row r="2">
      <c r="B2" s="6" t="s">
        <v>0</v>
      </c>
      <c r="C2" s="9"/>
      <c r="D2" s="9"/>
      <c r="E2" s="9"/>
      <c r="F2" s="10"/>
      <c r="G2" s="12">
        <v>0.0</v>
      </c>
      <c r="H2" s="9"/>
      <c r="I2" s="10"/>
      <c r="K2" s="19" t="s">
        <v>6</v>
      </c>
      <c r="L2" s="20"/>
      <c r="M2" s="22"/>
    </row>
    <row r="4">
      <c r="B4" s="27"/>
      <c r="C4" s="29" t="s">
        <v>8</v>
      </c>
      <c r="D4" s="9"/>
      <c r="E4" s="9"/>
      <c r="F4" s="10"/>
      <c r="G4" s="30" t="s">
        <v>10</v>
      </c>
      <c r="H4" s="9"/>
      <c r="I4" s="10"/>
    </row>
    <row r="5">
      <c r="B5" s="33"/>
      <c r="C5" s="17" t="s">
        <v>3</v>
      </c>
      <c r="D5" s="35"/>
      <c r="E5" s="17" t="s">
        <v>4</v>
      </c>
      <c r="F5" s="35"/>
      <c r="G5" s="36" t="s">
        <v>13</v>
      </c>
      <c r="H5" s="36" t="s">
        <v>14</v>
      </c>
      <c r="I5" s="36" t="s">
        <v>16</v>
      </c>
    </row>
    <row r="6">
      <c r="B6" s="39" t="s">
        <v>17</v>
      </c>
      <c r="C6" s="41">
        <v>0.24</v>
      </c>
      <c r="D6" s="47">
        <f>G2 * C6</f>
        <v>0</v>
      </c>
      <c r="E6" s="50">
        <v>0.3</v>
      </c>
      <c r="F6" s="53">
        <f>G2 * E6</f>
        <v>0</v>
      </c>
      <c r="G6" s="54">
        <v>0.0</v>
      </c>
      <c r="H6" s="56">
        <v>0.0</v>
      </c>
      <c r="I6" s="59">
        <f t="shared" ref="I6:I11" si="1">G6-H6</f>
        <v>0</v>
      </c>
    </row>
    <row r="7">
      <c r="B7" s="60" t="s">
        <v>23</v>
      </c>
      <c r="C7" s="62">
        <v>0.08</v>
      </c>
      <c r="D7" s="64">
        <f>G2 * C7</f>
        <v>0</v>
      </c>
      <c r="E7" s="66">
        <v>0.1</v>
      </c>
      <c r="F7" s="69">
        <f>G2 * E7</f>
        <v>0</v>
      </c>
      <c r="G7" s="71">
        <v>0.0</v>
      </c>
      <c r="H7" s="73">
        <v>0.0</v>
      </c>
      <c r="I7" s="76">
        <f t="shared" si="1"/>
        <v>0</v>
      </c>
    </row>
    <row r="8">
      <c r="B8" s="60" t="s">
        <v>25</v>
      </c>
      <c r="C8" s="62">
        <v>0.2</v>
      </c>
      <c r="D8" s="64">
        <f>G2 * C8</f>
        <v>0</v>
      </c>
      <c r="E8" s="66">
        <v>0.25</v>
      </c>
      <c r="F8" s="69">
        <f>G2 * E8</f>
        <v>0</v>
      </c>
      <c r="G8" s="54">
        <v>0.0</v>
      </c>
      <c r="H8" s="73">
        <v>0.0</v>
      </c>
      <c r="I8" s="76">
        <f t="shared" si="1"/>
        <v>0</v>
      </c>
    </row>
    <row r="9">
      <c r="B9" s="60" t="s">
        <v>27</v>
      </c>
      <c r="C9" s="62">
        <v>0.12</v>
      </c>
      <c r="D9" s="64">
        <f>G2 * C9</f>
        <v>0</v>
      </c>
      <c r="E9" s="66">
        <v>0.15</v>
      </c>
      <c r="F9" s="69">
        <f>G2 * E9</f>
        <v>0</v>
      </c>
      <c r="G9" s="71">
        <v>0.0</v>
      </c>
      <c r="H9" s="88">
        <v>0.0</v>
      </c>
      <c r="I9" s="76">
        <f t="shared" si="1"/>
        <v>0</v>
      </c>
    </row>
    <row r="10">
      <c r="B10" s="60" t="s">
        <v>28</v>
      </c>
      <c r="C10" s="62">
        <v>0.12</v>
      </c>
      <c r="D10" s="64">
        <f>G2 * C10</f>
        <v>0</v>
      </c>
      <c r="E10" s="66">
        <v>0.15</v>
      </c>
      <c r="F10" s="69">
        <f>G2 * E10</f>
        <v>0</v>
      </c>
      <c r="G10" s="54">
        <v>0.0</v>
      </c>
      <c r="H10" s="88">
        <v>0.0</v>
      </c>
      <c r="I10" s="76">
        <f t="shared" si="1"/>
        <v>0</v>
      </c>
    </row>
    <row r="11">
      <c r="B11" s="60" t="s">
        <v>30</v>
      </c>
      <c r="C11" s="62">
        <v>0.04</v>
      </c>
      <c r="D11" s="64">
        <f>G2 * C11</f>
        <v>0</v>
      </c>
      <c r="E11" s="66">
        <v>0.05</v>
      </c>
      <c r="F11" s="64">
        <f>G2 * E11</f>
        <v>0</v>
      </c>
      <c r="G11" s="71">
        <v>0.0</v>
      </c>
      <c r="H11" s="88">
        <v>0.0</v>
      </c>
      <c r="I11" s="76">
        <f t="shared" si="1"/>
        <v>0</v>
      </c>
    </row>
    <row r="12">
      <c r="B12" s="95" t="s">
        <v>31</v>
      </c>
      <c r="C12" s="98">
        <f t="shared" ref="C12:I12" si="2">SUM(C6:C11)</f>
        <v>0.8</v>
      </c>
      <c r="D12" s="100">
        <f t="shared" si="2"/>
        <v>0</v>
      </c>
      <c r="E12" s="102">
        <f t="shared" si="2"/>
        <v>1</v>
      </c>
      <c r="F12" s="103">
        <f t="shared" si="2"/>
        <v>0</v>
      </c>
      <c r="G12" s="105">
        <f t="shared" si="2"/>
        <v>0</v>
      </c>
      <c r="H12" s="106">
        <f t="shared" si="2"/>
        <v>0</v>
      </c>
      <c r="I12" s="108">
        <f t="shared" si="2"/>
        <v>0</v>
      </c>
    </row>
    <row r="14">
      <c r="C14" s="109"/>
      <c r="D14" s="109"/>
      <c r="G14" s="110" t="s">
        <v>33</v>
      </c>
      <c r="H14" s="111"/>
      <c r="I14" s="113">
        <f>F12-G12</f>
        <v>0</v>
      </c>
    </row>
  </sheetData>
  <mergeCells count="9">
    <mergeCell ref="G4:I4"/>
    <mergeCell ref="G14:H14"/>
    <mergeCell ref="B2:F2"/>
    <mergeCell ref="G2:I2"/>
    <mergeCell ref="K2:M2"/>
    <mergeCell ref="B4:B5"/>
    <mergeCell ref="C4:F4"/>
    <mergeCell ref="C5:D5"/>
    <mergeCell ref="E5:F5"/>
  </mergeCells>
  <conditionalFormatting sqref="G6:G11">
    <cfRule type="cellIs" dxfId="1" priority="1" operator="between">
      <formula>1</formula>
      <formula>0.9*F6+1</formula>
    </cfRule>
  </conditionalFormatting>
  <conditionalFormatting sqref="G6:G11">
    <cfRule type="cellIs" dxfId="2" priority="2" operator="greaterThan">
      <formula>F6</formula>
    </cfRule>
  </conditionalFormatting>
  <conditionalFormatting sqref="G6:G11">
    <cfRule type="cellIs" dxfId="3" priority="3" operator="between">
      <formula>0.9*F6+1</formula>
      <formula>F6+1</formula>
    </cfRule>
  </conditionalFormatting>
  <conditionalFormatting sqref="G6:G11">
    <cfRule type="cellIs" dxfId="4" priority="4" operator="equal">
      <formula>0</formula>
    </cfRule>
  </conditionalFormatting>
  <conditionalFormatting sqref="I14">
    <cfRule type="cellIs" dxfId="5" priority="5" operator="equal">
      <formula>0</formula>
    </cfRule>
  </conditionalFormatting>
  <conditionalFormatting sqref="I14">
    <cfRule type="cellIs" dxfId="1" priority="6" operator="greaterThan">
      <formula>1</formula>
    </cfRule>
  </conditionalFormatting>
  <conditionalFormatting sqref="I14">
    <cfRule type="cellIs" dxfId="2" priority="7" operator="lessThan">
      <formula>0</formula>
    </cfRule>
  </conditionalFormatting>
  <conditionalFormatting sqref="I12">
    <cfRule type="cellIs" dxfId="6" priority="8" operator="equal">
      <formula>0</formula>
    </cfRule>
  </conditionalFormatting>
  <conditionalFormatting sqref="I12">
    <cfRule type="cellIs" dxfId="7" priority="9" operator="greaterThan">
      <formula>1</formula>
    </cfRule>
  </conditionalFormatting>
  <dataValidations>
    <dataValidation type="custom" allowBlank="1" showDropDown="1" showErrorMessage="1" sqref="G7:H7">
      <formula1>ISNUMBER(G7:G15)</formula1>
    </dataValidation>
    <dataValidation type="custom" allowBlank="1" showDropDown="1" showErrorMessage="1" sqref="G11:H11">
      <formula1>ISNUMBER(G11:G41)</formula1>
    </dataValidation>
    <dataValidation type="custom" allowBlank="1" showDropDown="1" showErrorMessage="1" sqref="G10:H10">
      <formula1>ISNUMBER(G10:G37)</formula1>
    </dataValidation>
    <dataValidation type="custom" allowBlank="1" showDropDown="1" showErrorMessage="1" sqref="G12:H12">
      <formula1>ISNUMBER(G12:G50)</formula1>
    </dataValidation>
    <dataValidation type="custom" allowBlank="1" showDropDown="1" showErrorMessage="1" sqref="G8:H8">
      <formula1>ISNUMBER(G8:G21)</formula1>
    </dataValidation>
    <dataValidation type="custom" allowBlank="1" showDropDown="1" showErrorMessage="1" sqref="G6:H6">
      <formula1>ISNUMBER(G6:G12)</formula1>
    </dataValidation>
    <dataValidation type="custom" allowBlank="1" showDropDown="1" showErrorMessage="1" sqref="G9:H9">
      <formula1>ISNUMBER(G9:G27)</formula1>
    </dataValidation>
  </dataValidations>
  <drawing r:id="rId1"/>
</worksheet>
</file>